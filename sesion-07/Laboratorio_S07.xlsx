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rompt" sheetId="2" state="visible" r:id="rId4"/>
    <sheet name="Depuración" sheetId="3" state="visible" r:id="rId5"/>
    <sheet name="EDA" sheetId="4" state="visible" r:id="rId6"/>
    <sheet name="Bitácor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<sst xmlns="http://schemas.openxmlformats.org/spreadsheetml/2006/main" count="140" uniqueCount="105">
  <si>
    <t xml:space="preserve">Práctica guiada · Sesión 7</t>
  </si>
  <si>
    <t xml:space="preserve">Explorar, depurar y verificar · Curso de IA Aplicada, INEGI 2026</t>
  </si>
  <si>
    <t xml:space="preserve">Qué van a hacer</t>
  </si>
  <si>
    <t xml:space="preserve">Parte 1  ·  12 min</t>
  </si>
  <si>
    <t xml:space="preserve">Escribir el prompt. En la hoja «Prompt», conviertan un pedido vago en uno preciso para calcular el apoyo promedio por entidad.</t>
  </si>
  <si>
    <t xml:space="preserve">Parte 2  ·  18 min</t>
  </si>
  <si>
    <t xml:space="preserve">Depurar y recalcular. En la hoja «Depuración», diagnostiquen el padrón sucio y comparen el promedio ingenuo contra el corregido.</t>
  </si>
  <si>
    <t xml:space="preserve">Parte 3  ·  10 min</t>
  </si>
  <si>
    <t xml:space="preserve">EDA y bitácora. En las hojas «EDA» y «Bitácora», exploren el registro y anoten qué encontraron, qué arreglaron y cómo lo verificaron.</t>
  </si>
  <si>
    <t xml:space="preserve">Cómo se usa el archivo</t>
  </si>
  <si>
    <t xml:space="preserve">Celdas ámbar</t>
  </si>
  <si>
    <t xml:space="preserve">Son las que ustedes llenan. Lo demás se calcula solo; no hace falta escribir fórmulas.</t>
  </si>
  <si>
    <t xml:space="preserve">Comprobación</t>
  </si>
  <si>
    <t xml:space="preserve">En la Parte 2, junto a su diagnóstico hay un conteo automático para verificar lo que contaron.</t>
  </si>
  <si>
    <t xml:space="preserve">Sin datos reales</t>
  </si>
  <si>
    <t xml:space="preserve">El padrón es ficticio (dato verde). Un microdato real casi siempre sería dato amarillo: solo Copilot institucional.</t>
  </si>
  <si>
    <t xml:space="preserve">La regla dura</t>
  </si>
  <si>
    <t xml:space="preserve">Ningún número entra al informe sin que sepan qué se limpió para obtenerlo. Un promedio sin bitácora es un rumor con decimales.</t>
  </si>
  <si>
    <t xml:space="preserve">Para quien programa</t>
  </si>
  <si>
    <t xml:space="preserve">Notebook</t>
  </si>
  <si>
    <t xml:space="preserve">El archivo Laboratorio_S07.ipynb hace lo mismo con pandas e incluye una demostración de prompt-to-code. Los números deben coincidir con esta hoja.</t>
  </si>
  <si>
    <t xml:space="preserve">Parte 1 · Escribir el prompt</t>
  </si>
  <si>
    <t xml:space="preserve">Un buen prompt cuantitativo no da error: fija los supuestos para que no los elija la IA.</t>
  </si>
  <si>
    <t xml:space="preserve">El pedido vago que hay que mejorar:</t>
  </si>
  <si>
    <t xml:space="preserve">«saca el promedio del apoyo»</t>
  </si>
  <si>
    <t xml:space="preserve">Completen cada elemento (celdas ámbar):</t>
  </si>
  <si>
    <t xml:space="preserve">1. Columnas exactas
(¿qué columna es el monto? ¿y la de entidad?)</t>
  </si>
  <si>
    <t xml:space="preserve">2. Unidad de análisis
(¿por entidad, por beneficiario, por folio único?)</t>
  </si>
  <si>
    <t xml:space="preserve">3. Qué hacer con lo inválido
(texto como número, ignorar vacías, un folio una vez)</t>
  </si>
  <si>
    <t xml:space="preserve">4. Salida deseada
(¿promedio y conteo? ¿redondeo? ¿en tabla?)</t>
  </si>
  <si>
    <t xml:space="preserve">Tu prompt completo:</t>
  </si>
  <si>
    <t xml:space="preserve">Parte 2 · Depurar y recalcular</t>
  </si>
  <si>
    <t xml:space="preserve">Padrón de un programa de apoyo (ficticio). Compara el promedio sin limpiar contra el corregido.</t>
  </si>
  <si>
    <t xml:space="preserve">se calculan solas</t>
  </si>
  <si>
    <t xml:space="preserve">folio</t>
  </si>
  <si>
    <t xml:space="preserve">entidad</t>
  </si>
  <si>
    <t xml:space="preserve">monto_apoyo</t>
  </si>
  <si>
    <t xml:space="preserve">estatus</t>
  </si>
  <si>
    <t xml:space="preserve">monto_num</t>
  </si>
  <si>
    <t xml:space="preserve">primera_vez</t>
  </si>
  <si>
    <t xml:space="preserve">para_promedio</t>
  </si>
  <si>
    <t xml:space="preserve">F-001</t>
  </si>
  <si>
    <t xml:space="preserve">Norte</t>
  </si>
  <si>
    <t xml:space="preserve">Activo</t>
  </si>
  <si>
    <t xml:space="preserve">F-002</t>
  </si>
  <si>
    <t xml:space="preserve">Centro</t>
  </si>
  <si>
    <t xml:space="preserve">5,000</t>
  </si>
  <si>
    <t xml:space="preserve">activo</t>
  </si>
  <si>
    <t xml:space="preserve">F-003</t>
  </si>
  <si>
    <t xml:space="preserve">Sur</t>
  </si>
  <si>
    <t xml:space="preserve">ACTIVO</t>
  </si>
  <si>
    <t xml:space="preserve">F-004</t>
  </si>
  <si>
    <t xml:space="preserve">F-005</t>
  </si>
  <si>
    <t xml:space="preserve">Baja</t>
  </si>
  <si>
    <t xml:space="preserve">F-006</t>
  </si>
  <si>
    <t xml:space="preserve">Activo </t>
  </si>
  <si>
    <t xml:space="preserve">F-007</t>
  </si>
  <si>
    <t xml:space="preserve">F-008</t>
  </si>
  <si>
    <t xml:space="preserve">baja</t>
  </si>
  <si>
    <t xml:space="preserve">F-009</t>
  </si>
  <si>
    <t xml:space="preserve">F-010</t>
  </si>
  <si>
    <t xml:space="preserve">F-011</t>
  </si>
  <si>
    <t xml:space="preserve">F-012</t>
  </si>
  <si>
    <t xml:space="preserve">F-013</t>
  </si>
  <si>
    <t xml:space="preserve">F-014</t>
  </si>
  <si>
    <t xml:space="preserve">F-015</t>
  </si>
  <si>
    <t xml:space="preserve">F-016</t>
  </si>
  <si>
    <t xml:space="preserve">Sin limpiar (ingenuo)</t>
  </si>
  <si>
    <t xml:space="preserve">Ya limpio (corregido)</t>
  </si>
  <si>
    <t xml:space="preserve">Promedio ingenuo</t>
  </si>
  <si>
    <t xml:space="preserve">Promedio corregido</t>
  </si>
  <si>
    <t xml:space="preserve">Celdas que promedió</t>
  </si>
  <si>
    <t xml:space="preserve">Beneficiarios únicos con monto</t>
  </si>
  <si>
    <t xml:space="preserve">El ingenuo subestima</t>
  </si>
  <si>
    <t xml:space="preserve">Diagnóstico: ¿cuántos de cada problema? (llénalo)</t>
  </si>
  <si>
    <t xml:space="preserve">Tu conteo</t>
  </si>
  <si>
    <t xml:space="preserve">Montos guardados como texto</t>
  </si>
  <si>
    <t xml:space="preserve">Folios duplicados (renglones de más)</t>
  </si>
  <si>
    <t xml:space="preserve">Montos vacíos</t>
  </si>
  <si>
    <t xml:space="preserve">Formas distintas de escribir «Activo» (cuéntalas a ojo)</t>
  </si>
  <si>
    <t xml:space="preserve">revisa la columna estatus</t>
  </si>
  <si>
    <t xml:space="preserve">Parte 3 · Lista de EDA rápida</t>
  </si>
  <si>
    <t xml:space="preserve">El barrido que se le hace a cualquier registro antes de calcular nada.</t>
  </si>
  <si>
    <t xml:space="preserve">Pregunta de EDA</t>
  </si>
  <si>
    <t xml:space="preserve">Respuesta</t>
  </si>
  <si>
    <t xml:space="preserve">¿Tiene sentido?</t>
  </si>
  <si>
    <t xml:space="preserve">¿Cuántos renglones?</t>
  </si>
  <si>
    <t xml:space="preserve">¿Cuántas columnas de datos?</t>
  </si>
  <si>
    <t xml:space="preserve">¿El monto es número en todas las celdas?</t>
  </si>
  <si>
    <t xml:space="preserve">Faltantes en monto_apoyo</t>
  </si>
  <si>
    <t xml:space="preserve">Monto mínimo (ya como número)</t>
  </si>
  <si>
    <t xml:space="preserve">Monto máximo (ya como número)</t>
  </si>
  <si>
    <t xml:space="preserve">¿Folios duplicados?</t>
  </si>
  <si>
    <t xml:space="preserve">En las celdas ámbar, escribe Sí o No: ¿el rango de montos es razonable para este apoyo?</t>
  </si>
  <si>
    <t xml:space="preserve">Parte 3 · Bitácora de limpieza y verificación</t>
  </si>
  <si>
    <t xml:space="preserve">Una fila por problema. La primera es un ejemplo; ustedes llenan las de abajo (ámbar).</t>
  </si>
  <si>
    <t xml:space="preserve">Problema encontrado</t>
  </si>
  <si>
    <t xml:space="preserve">Qué hiciste</t>
  </si>
  <si>
    <t xml:space="preserve">Cuántos afecta</t>
  </si>
  <si>
    <t xml:space="preserve">Cómo lo verificaste</t>
  </si>
  <si>
    <t xml:space="preserve">EJEMPLO. Montos guardados como texto</t>
  </si>
  <si>
    <t xml:space="preserve">Los convertí a número</t>
  </si>
  <si>
    <t xml:space="preserve">4 de 18</t>
  </si>
  <si>
    <t xml:space="preserve">El promedio pasó de 2,000 a 3,200</t>
  </si>
  <si>
    <t xml:space="preserve">Regla dura: si no puedes decir qué arreglaste y cómo lo verificaste, el número no es defendible. Un promedio sin bitácora es un rumor con decimales.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</si>
</sst>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@"/>
    <numFmt numFmtId="167" formatCode="0"/>
    <numFmt numFmtId="168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5293B"/>
      <name val="Arial"/>
      <family val="0"/>
      <charset val="1"/>
    </font>
    <font>
      <sz val="11"/>
      <color rgb="FF60707E"/>
      <name val="Arial"/>
      <family val="0"/>
      <charset val="1"/>
    </font>
    <font>
      <b val="true"/>
      <sz val="11"/>
      <color rgb="FF15293B"/>
      <name val="Arial"/>
      <family val="0"/>
      <charset val="1"/>
    </font>
    <font>
      <sz val="11"/>
      <color rgb="FF1E2A35"/>
      <name val="Arial"/>
      <family val="0"/>
      <charset val="1"/>
    </font>
    <font>
      <b val="true"/>
      <sz val="13"/>
      <color rgb="FFCB5E2E"/>
      <name val="Arial"/>
      <family val="0"/>
      <charset val="1"/>
    </font>
    <font>
      <b val="true"/>
      <sz val="16"/>
      <color rgb="FF15293B"/>
      <name val="Arial"/>
      <family val="0"/>
      <charset val="1"/>
    </font>
    <font>
      <sz val="10"/>
      <color rgb="FF60707E"/>
      <name val="Arial"/>
      <family val="0"/>
      <charset val="1"/>
    </font>
    <font>
      <b val="true"/>
      <sz val="11"/>
      <color rgb="FF1E2A35"/>
      <name val="Arial"/>
      <family val="0"/>
      <charset val="1"/>
    </font>
    <font>
      <i val="true"/>
      <sz val="12"/>
      <color rgb="FF1E2A35"/>
      <name val="Arial"/>
      <family val="0"/>
      <charset val="1"/>
    </font>
    <font>
      <sz val="9"/>
      <color rgb="FF60707E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"/>
      <color rgb="FF1E2A35"/>
      <name val="Arial"/>
      <family val="0"/>
      <charset val="1"/>
    </font>
    <font>
      <b val="true"/>
      <sz val="11"/>
      <color rgb="FFCB5E2E"/>
      <name val="Arial"/>
      <family val="0"/>
      <charset val="1"/>
    </font>
    <font>
      <sz val="10.5"/>
      <color rgb="FF1E2A35"/>
      <name val="Arial"/>
      <family val="0"/>
      <charset val="1"/>
    </font>
    <font>
      <b val="true"/>
      <sz val="13"/>
      <color rgb="FF1E2A35"/>
      <name val="Arial"/>
      <family val="0"/>
      <charset val="1"/>
    </font>
    <font>
      <b val="true"/>
      <sz val="9.5"/>
      <color rgb="FF60707E"/>
      <name val="Arial"/>
      <family val="0"/>
      <charset val="1"/>
    </font>
    <font>
      <b val="true"/>
      <sz val="10.5"/>
      <color rgb="FF60707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.5"/>
      <color rgb="FF1E2A35"/>
      <name val="Arial"/>
      <family val="0"/>
      <charset val="1"/>
    </font>
    <font>
      <b val="true"/>
      <sz val="10"/>
      <color rgb="FF60707E"/>
      <name val="Arial"/>
      <family val="0"/>
      <charset val="1"/>
    </font>
    <font>
      <b val="true"/>
      <sz val="10"/>
      <color rgb="FFCB5E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9E7E3"/>
        <bgColor rgb="FFEEF2F5"/>
      </patternFill>
    </fill>
    <fill>
      <patternFill patternType="solid">
        <fgColor rgb="FFFFE699"/>
        <bgColor rgb="FFFFCC99"/>
      </patternFill>
    </fill>
    <fill>
      <patternFill patternType="solid">
        <fgColor rgb="FF15293B"/>
        <bgColor rgb="FF1E2A35"/>
      </patternFill>
    </fill>
    <fill>
      <patternFill patternType="solid">
        <fgColor rgb="FFEEF2F5"/>
        <bgColor rgb="FFE7F2EA"/>
      </patternFill>
    </fill>
    <fill>
      <patternFill patternType="solid">
        <fgColor rgb="FFE7F2EA"/>
        <bgColor rgb="FFEEF2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CE3"/>
      </left>
      <right style="thin">
        <color rgb="FFD5DCE3"/>
      </right>
      <top style="thin">
        <color rgb="FFD5DCE3"/>
      </top>
      <bottom style="thin">
        <color rgb="FFD5DCE3"/>
      </bottom>
      <diagonal/>
    </border>
    <border diagonalUp="false" diagonalDown="false">
      <left style="thin">
        <color rgb="FFD5DCE3"/>
      </left>
      <right style="thin">
        <color rgb="FFD5DCE3"/>
      </right>
      <top style="thin">
        <color rgb="FFD5DCE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5"/>
      <rgbColor rgb="FFE7F2EA"/>
      <rgbColor rgb="FF660066"/>
      <rgbColor rgb="FFFF8080"/>
      <rgbColor rgb="FF0066CC"/>
      <rgbColor rgb="FFD5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9E7E3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B5E2E"/>
      <rgbColor rgb="FF60707E"/>
      <rgbColor rgb="FF969696"/>
      <rgbColor rgb="FF15293B"/>
      <rgbColor rgb="FF339966"/>
      <rgbColor rgb="FF003300"/>
      <rgbColor rgb="FF333300"/>
      <rgbColor rgb="FF993300"/>
      <rgbColor rgb="FF993366"/>
      <rgbColor rgb="FF333399"/>
      <rgbColor rgb="FF1E2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82"/>
  </cols>
  <sheetData>
    <row r="2" customFormat="false" ht="22.05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7.5" hidden="false" customHeight="true" outlineLevel="0" collapsed="false">
      <c r="B5" s="3"/>
      <c r="C5" s="4"/>
    </row>
    <row r="6" customFormat="false" ht="16.15" hidden="false" customHeight="false" outlineLevel="0" collapsed="false">
      <c r="B6" s="5" t="s">
        <v>2</v>
      </c>
      <c r="C6" s="5"/>
    </row>
    <row r="7" customFormat="false" ht="43.5" hidden="false" customHeight="true" outlineLevel="0" collapsed="false">
      <c r="B7" s="3" t="s">
        <v>3</v>
      </c>
      <c r="C7" s="4" t="s">
        <v>4</v>
      </c>
    </row>
    <row r="8" customFormat="false" ht="43.5" hidden="false" customHeight="true" outlineLevel="0" collapsed="false">
      <c r="B8" s="3" t="s">
        <v>5</v>
      </c>
      <c r="C8" s="4" t="s">
        <v>6</v>
      </c>
    </row>
    <row r="9" customFormat="false" ht="43.5" hidden="false" customHeight="true" outlineLevel="0" collapsed="false">
      <c r="B9" s="3" t="s">
        <v>7</v>
      </c>
      <c r="C9" s="4" t="s">
        <v>8</v>
      </c>
    </row>
    <row r="10" customFormat="false" ht="7.5" hidden="false" customHeight="true" outlineLevel="0" collapsed="false">
      <c r="B10" s="3"/>
      <c r="C10" s="4"/>
    </row>
    <row r="11" customFormat="false" ht="16.15" hidden="false" customHeight="false" outlineLevel="0" collapsed="false">
      <c r="B11" s="5" t="s">
        <v>9</v>
      </c>
      <c r="C11" s="5"/>
    </row>
    <row r="12" customFormat="false" ht="43.5" hidden="false" customHeight="true" outlineLevel="0" collapsed="false">
      <c r="B12" s="3" t="s">
        <v>10</v>
      </c>
      <c r="C12" s="4" t="s">
        <v>11</v>
      </c>
    </row>
    <row r="13" customFormat="false" ht="43.5" hidden="false" customHeight="true" outlineLevel="0" collapsed="false">
      <c r="B13" s="3" t="s">
        <v>12</v>
      </c>
      <c r="C13" s="4" t="s">
        <v>13</v>
      </c>
    </row>
    <row r="14" customFormat="false" ht="43.5" hidden="false" customHeight="true" outlineLevel="0" collapsed="false">
      <c r="B14" s="3" t="s">
        <v>14</v>
      </c>
      <c r="C14" s="4" t="s">
        <v>15</v>
      </c>
    </row>
    <row r="15" customFormat="false" ht="7.5" hidden="false" customHeight="true" outlineLevel="0" collapsed="false">
      <c r="B15" s="3"/>
      <c r="C15" s="4"/>
    </row>
    <row r="16" customFormat="false" ht="16.15" hidden="false" customHeight="false" outlineLevel="0" collapsed="false">
      <c r="B16" s="5" t="s">
        <v>16</v>
      </c>
      <c r="C16" s="5"/>
    </row>
    <row r="17" customFormat="false" ht="43.5" hidden="false" customHeight="true" outlineLevel="0" collapsed="false">
      <c r="B17" s="3"/>
      <c r="C17" s="4" t="s">
        <v>17</v>
      </c>
    </row>
    <row r="18" customFormat="false" ht="7.5" hidden="false" customHeight="true" outlineLevel="0" collapsed="false">
      <c r="B18" s="3"/>
      <c r="C18" s="4"/>
    </row>
    <row r="19" customFormat="false" ht="16.15" hidden="false" customHeight="false" outlineLevel="0" collapsed="false">
      <c r="B19" s="5" t="s">
        <v>18</v>
      </c>
      <c r="C19" s="5"/>
    </row>
    <row r="20" customFormat="false" ht="43.5" hidden="false" customHeight="true" outlineLevel="0" collapsed="false">
      <c r="B20" s="3" t="s">
        <v>19</v>
      </c>
      <c r="C20" s="4" t="s">
        <v>20</v>
      </c>
    </row>
  </sheetData>
  <mergeCells count="6">
    <mergeCell ref="B2:C2"/>
    <mergeCell ref="B3:C3"/>
    <mergeCell ref="B6:C6"/>
    <mergeCell ref="B11:C11"/>
    <mergeCell ref="B16:C16"/>
    <mergeCell ref="B19:C1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62"/>
  </cols>
  <sheetData>
    <row r="2" customFormat="false" ht="19.7" hidden="false" customHeight="false" outlineLevel="0" collapsed="false">
      <c r="B2" s="6" t="s">
        <v>21</v>
      </c>
      <c r="C2" s="6"/>
    </row>
    <row r="3" customFormat="false" ht="15" hidden="false" customHeight="false" outlineLevel="0" collapsed="false">
      <c r="B3" s="7" t="s">
        <v>22</v>
      </c>
      <c r="C3" s="7"/>
    </row>
    <row r="5" customFormat="false" ht="15" hidden="false" customHeight="false" outlineLevel="0" collapsed="false">
      <c r="B5" s="8" t="s">
        <v>23</v>
      </c>
      <c r="C5" s="8"/>
    </row>
    <row r="6" customFormat="false" ht="15" hidden="false" customHeight="true" outlineLevel="0" collapsed="false">
      <c r="B6" s="9" t="s">
        <v>24</v>
      </c>
      <c r="C6" s="9"/>
    </row>
    <row r="8" customFormat="false" ht="15" hidden="false" customHeight="false" outlineLevel="0" collapsed="false">
      <c r="B8" s="8" t="s">
        <v>25</v>
      </c>
      <c r="C8" s="8"/>
    </row>
    <row r="9" customFormat="false" ht="51.75" hidden="false" customHeight="true" outlineLevel="0" collapsed="false">
      <c r="B9" s="3" t="s">
        <v>26</v>
      </c>
      <c r="C9" s="10"/>
    </row>
    <row r="10" customFormat="false" ht="51.75" hidden="false" customHeight="true" outlineLevel="0" collapsed="false">
      <c r="B10" s="3" t="s">
        <v>27</v>
      </c>
      <c r="C10" s="10"/>
    </row>
    <row r="11" customFormat="false" ht="51.75" hidden="false" customHeight="true" outlineLevel="0" collapsed="false">
      <c r="B11" s="3" t="s">
        <v>28</v>
      </c>
      <c r="C11" s="10"/>
    </row>
    <row r="12" customFormat="false" ht="51.75" hidden="false" customHeight="true" outlineLevel="0" collapsed="false">
      <c r="B12" s="3" t="s">
        <v>29</v>
      </c>
      <c r="C12" s="10"/>
    </row>
    <row r="14" customFormat="false" ht="25.5" hidden="false" customHeight="true" outlineLevel="0" collapsed="false">
      <c r="B14" s="11" t="s">
        <v>30</v>
      </c>
      <c r="C14" s="12"/>
    </row>
    <row r="15" customFormat="false" ht="25.5" hidden="false" customHeight="true" outlineLevel="0" collapsed="false">
      <c r="B15" s="13"/>
      <c r="C15" s="12"/>
    </row>
    <row r="16" customFormat="false" ht="25.5" hidden="false" customHeight="true" outlineLevel="0" collapsed="false">
      <c r="B16" s="13"/>
      <c r="C16" s="12"/>
    </row>
  </sheetData>
  <mergeCells count="6">
    <mergeCell ref="B2:C2"/>
    <mergeCell ref="B3:C3"/>
    <mergeCell ref="B5:C5"/>
    <mergeCell ref="B6:C6"/>
    <mergeCell ref="B8:C8"/>
    <mergeCell ref="C14:C1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5"/>
  </cols>
  <sheetData>
    <row r="2" customFormat="false" ht="19.7" hidden="false" customHeight="false" outlineLevel="0" collapsed="false">
      <c r="B2" s="6" t="s">
        <v>31</v>
      </c>
      <c r="C2" s="6"/>
      <c r="D2" s="6"/>
      <c r="E2" s="6"/>
    </row>
    <row r="3" customFormat="false" ht="15" hidden="false" customHeight="false" outlineLevel="0" collapsed="false">
      <c r="B3" s="7" t="s">
        <v>32</v>
      </c>
      <c r="C3" s="7"/>
      <c r="D3" s="7"/>
      <c r="E3" s="7"/>
      <c r="F3" s="7"/>
      <c r="G3" s="7"/>
      <c r="H3" s="7"/>
    </row>
    <row r="4" customFormat="false" ht="15" hidden="false" customHeight="false" outlineLevel="0" collapsed="false">
      <c r="G4" s="14" t="s">
        <v>33</v>
      </c>
      <c r="H4" s="14"/>
    </row>
    <row r="5" customFormat="false" ht="30" hidden="false" customHeight="true" outlineLevel="0" collapsed="false">
      <c r="B5" s="15" t="s">
        <v>34</v>
      </c>
      <c r="C5" s="15" t="s">
        <v>35</v>
      </c>
      <c r="D5" s="15" t="s">
        <v>36</v>
      </c>
      <c r="E5" s="15" t="s">
        <v>37</v>
      </c>
      <c r="F5" s="15" t="s">
        <v>38</v>
      </c>
      <c r="G5" s="15" t="s">
        <v>39</v>
      </c>
      <c r="H5" s="15" t="s">
        <v>40</v>
      </c>
    </row>
    <row r="6" customFormat="false" ht="18.75" hidden="false" customHeight="true" outlineLevel="0" collapsed="false">
      <c r="B6" s="16" t="s">
        <v>41</v>
      </c>
      <c r="C6" s="16" t="s">
        <v>42</v>
      </c>
      <c r="D6" s="16" t="n">
        <v>2000</v>
      </c>
      <c r="E6" s="16" t="s">
        <v>43</v>
      </c>
      <c r="F6" s="17" t="n">
        <f aca="false">IFERROR(VALUE(SUBSTITUTE(D6,",","")),"")</f>
        <v>2000</v>
      </c>
      <c r="G6" s="17" t="n">
        <f aca="false">IF(COUNTIF($B$6:B6,B6)=1,1,0)</f>
        <v>1</v>
      </c>
      <c r="H6" s="17" t="n">
        <f aca="false">IF(AND(G6=1,F6&lt;&gt;""),F6,"")</f>
        <v>2000</v>
      </c>
    </row>
    <row r="7" customFormat="false" ht="18.75" hidden="false" customHeight="true" outlineLevel="0" collapsed="false">
      <c r="B7" s="16" t="s">
        <v>44</v>
      </c>
      <c r="C7" s="16" t="s">
        <v>45</v>
      </c>
      <c r="D7" s="18" t="s">
        <v>46</v>
      </c>
      <c r="E7" s="16" t="s">
        <v>47</v>
      </c>
      <c r="F7" s="17" t="n">
        <f aca="false">IFERROR(VALUE(SUBSTITUTE(D7,",","")),"")</f>
        <v>5000</v>
      </c>
      <c r="G7" s="17" t="n">
        <f aca="false">IF(COUNTIF($B$6:B7,B7)=1,1,0)</f>
        <v>1</v>
      </c>
      <c r="H7" s="17" t="n">
        <f aca="false">IF(AND(G7=1,F7&lt;&gt;""),F7,"")</f>
        <v>5000</v>
      </c>
    </row>
    <row r="8" customFormat="false" ht="18.75" hidden="false" customHeight="true" outlineLevel="0" collapsed="false">
      <c r="B8" s="16" t="s">
        <v>48</v>
      </c>
      <c r="C8" s="16" t="s">
        <v>49</v>
      </c>
      <c r="D8" s="16" t="n">
        <v>2000</v>
      </c>
      <c r="E8" s="16" t="s">
        <v>50</v>
      </c>
      <c r="F8" s="17" t="n">
        <f aca="false">IFERROR(VALUE(SUBSTITUTE(D8,",","")),"")</f>
        <v>2000</v>
      </c>
      <c r="G8" s="17" t="n">
        <f aca="false">IF(COUNTIF($B$6:B8,B8)=1,1,0)</f>
        <v>1</v>
      </c>
      <c r="H8" s="17" t="n">
        <f aca="false">IF(AND(G8=1,F8&lt;&gt;""),F8,"")</f>
        <v>2000</v>
      </c>
    </row>
    <row r="9" customFormat="false" ht="18.75" hidden="false" customHeight="true" outlineLevel="0" collapsed="false">
      <c r="B9" s="16" t="s">
        <v>51</v>
      </c>
      <c r="C9" s="16" t="s">
        <v>42</v>
      </c>
      <c r="D9" s="18" t="s">
        <v>46</v>
      </c>
      <c r="E9" s="16" t="s">
        <v>43</v>
      </c>
      <c r="F9" s="17" t="n">
        <f aca="false">IFERROR(VALUE(SUBSTITUTE(D9,",","")),"")</f>
        <v>5000</v>
      </c>
      <c r="G9" s="17" t="n">
        <f aca="false">IF(COUNTIF($B$6:B9,B9)=1,1,0)</f>
        <v>1</v>
      </c>
      <c r="H9" s="17" t="n">
        <f aca="false">IF(AND(G9=1,F9&lt;&gt;""),F9,"")</f>
        <v>5000</v>
      </c>
    </row>
    <row r="10" customFormat="false" ht="18.75" hidden="false" customHeight="true" outlineLevel="0" collapsed="false">
      <c r="B10" s="16" t="s">
        <v>52</v>
      </c>
      <c r="C10" s="16" t="s">
        <v>45</v>
      </c>
      <c r="D10" s="16" t="n">
        <v>2000</v>
      </c>
      <c r="E10" s="16" t="s">
        <v>53</v>
      </c>
      <c r="F10" s="17" t="n">
        <f aca="false">IFERROR(VALUE(SUBSTITUTE(D10,",","")),"")</f>
        <v>2000</v>
      </c>
      <c r="G10" s="17" t="n">
        <f aca="false">IF(COUNTIF($B$6:B10,B10)=1,1,0)</f>
        <v>1</v>
      </c>
      <c r="H10" s="17" t="n">
        <f aca="false">IF(AND(G10=1,F10&lt;&gt;""),F10,"")</f>
        <v>2000</v>
      </c>
    </row>
    <row r="11" customFormat="false" ht="18.75" hidden="false" customHeight="true" outlineLevel="0" collapsed="false">
      <c r="B11" s="16" t="s">
        <v>54</v>
      </c>
      <c r="C11" s="16" t="s">
        <v>49</v>
      </c>
      <c r="D11" s="16" t="n">
        <v>2000</v>
      </c>
      <c r="E11" s="16" t="s">
        <v>55</v>
      </c>
      <c r="F11" s="17" t="n">
        <f aca="false">IFERROR(VALUE(SUBSTITUTE(D11,",","")),"")</f>
        <v>2000</v>
      </c>
      <c r="G11" s="17" t="n">
        <f aca="false">IF(COUNTIF($B$6:B11,B11)=1,1,0)</f>
        <v>1</v>
      </c>
      <c r="H11" s="17" t="n">
        <f aca="false">IF(AND(G11=1,F11&lt;&gt;""),F11,"")</f>
        <v>2000</v>
      </c>
    </row>
    <row r="12" customFormat="false" ht="18.75" hidden="false" customHeight="true" outlineLevel="0" collapsed="false">
      <c r="B12" s="16" t="s">
        <v>56</v>
      </c>
      <c r="C12" s="16" t="s">
        <v>42</v>
      </c>
      <c r="D12" s="18" t="s">
        <v>46</v>
      </c>
      <c r="E12" s="16" t="s">
        <v>43</v>
      </c>
      <c r="F12" s="17" t="n">
        <f aca="false">IFERROR(VALUE(SUBSTITUTE(D12,",","")),"")</f>
        <v>5000</v>
      </c>
      <c r="G12" s="17" t="n">
        <f aca="false">IF(COUNTIF($B$6:B12,B12)=1,1,0)</f>
        <v>1</v>
      </c>
      <c r="H12" s="17" t="n">
        <f aca="false">IF(AND(G12=1,F12&lt;&gt;""),F12,"")</f>
        <v>5000</v>
      </c>
    </row>
    <row r="13" customFormat="false" ht="18.75" hidden="false" customHeight="true" outlineLevel="0" collapsed="false">
      <c r="B13" s="16" t="s">
        <v>57</v>
      </c>
      <c r="C13" s="16" t="s">
        <v>45</v>
      </c>
      <c r="D13" s="16" t="n">
        <v>2000</v>
      </c>
      <c r="E13" s="16" t="s">
        <v>58</v>
      </c>
      <c r="F13" s="17" t="n">
        <f aca="false">IFERROR(VALUE(SUBSTITUTE(D13,",","")),"")</f>
        <v>2000</v>
      </c>
      <c r="G13" s="17" t="n">
        <f aca="false">IF(COUNTIF($B$6:B13,B13)=1,1,0)</f>
        <v>1</v>
      </c>
      <c r="H13" s="17" t="n">
        <f aca="false">IF(AND(G13=1,F13&lt;&gt;""),F13,"")</f>
        <v>2000</v>
      </c>
    </row>
    <row r="14" customFormat="false" ht="18.75" hidden="false" customHeight="true" outlineLevel="0" collapsed="false">
      <c r="B14" s="16" t="s">
        <v>59</v>
      </c>
      <c r="C14" s="16" t="s">
        <v>49</v>
      </c>
      <c r="D14" s="16" t="n">
        <v>2000</v>
      </c>
      <c r="E14" s="16" t="s">
        <v>43</v>
      </c>
      <c r="F14" s="17" t="n">
        <f aca="false">IFERROR(VALUE(SUBSTITUTE(D14,",","")),"")</f>
        <v>2000</v>
      </c>
      <c r="G14" s="17" t="n">
        <f aca="false">IF(COUNTIF($B$6:B14,B14)=1,1,0)</f>
        <v>1</v>
      </c>
      <c r="H14" s="17" t="n">
        <f aca="false">IF(AND(G14=1,F14&lt;&gt;""),F14,"")</f>
        <v>2000</v>
      </c>
    </row>
    <row r="15" customFormat="false" ht="18.75" hidden="false" customHeight="true" outlineLevel="0" collapsed="false">
      <c r="B15" s="16" t="s">
        <v>60</v>
      </c>
      <c r="C15" s="16" t="s">
        <v>42</v>
      </c>
      <c r="D15" s="18" t="s">
        <v>46</v>
      </c>
      <c r="E15" s="16" t="s">
        <v>43</v>
      </c>
      <c r="F15" s="17" t="n">
        <f aca="false">IFERROR(VALUE(SUBSTITUTE(D15,",","")),"")</f>
        <v>5000</v>
      </c>
      <c r="G15" s="17" t="n">
        <f aca="false">IF(COUNTIF($B$6:B15,B15)=1,1,0)</f>
        <v>1</v>
      </c>
      <c r="H15" s="17" t="n">
        <f aca="false">IF(AND(G15=1,F15&lt;&gt;""),F15,"")</f>
        <v>5000</v>
      </c>
    </row>
    <row r="16" customFormat="false" ht="18.75" hidden="false" customHeight="true" outlineLevel="0" collapsed="false">
      <c r="B16" s="16" t="s">
        <v>61</v>
      </c>
      <c r="C16" s="16" t="s">
        <v>45</v>
      </c>
      <c r="D16" s="16" t="n">
        <v>2000</v>
      </c>
      <c r="E16" s="16" t="s">
        <v>43</v>
      </c>
      <c r="F16" s="17" t="n">
        <f aca="false">IFERROR(VALUE(SUBSTITUTE(D16,",","")),"")</f>
        <v>2000</v>
      </c>
      <c r="G16" s="17" t="n">
        <f aca="false">IF(COUNTIF($B$6:B16,B16)=1,1,0)</f>
        <v>1</v>
      </c>
      <c r="H16" s="17" t="n">
        <f aca="false">IF(AND(G16=1,F16&lt;&gt;""),F16,"")</f>
        <v>2000</v>
      </c>
    </row>
    <row r="17" customFormat="false" ht="18.75" hidden="false" customHeight="true" outlineLevel="0" collapsed="false">
      <c r="B17" s="16" t="s">
        <v>62</v>
      </c>
      <c r="C17" s="16" t="s">
        <v>49</v>
      </c>
      <c r="D17" s="18" t="s">
        <v>46</v>
      </c>
      <c r="E17" s="16" t="s">
        <v>43</v>
      </c>
      <c r="F17" s="17" t="n">
        <f aca="false">IFERROR(VALUE(SUBSTITUTE(D17,",","")),"")</f>
        <v>5000</v>
      </c>
      <c r="G17" s="17" t="n">
        <f aca="false">IF(COUNTIF($B$6:B17,B17)=1,1,0)</f>
        <v>1</v>
      </c>
      <c r="H17" s="17" t="n">
        <f aca="false">IF(AND(G17=1,F17&lt;&gt;""),F17,"")</f>
        <v>5000</v>
      </c>
    </row>
    <row r="18" customFormat="false" ht="18.75" hidden="false" customHeight="true" outlineLevel="0" collapsed="false">
      <c r="B18" s="16" t="s">
        <v>63</v>
      </c>
      <c r="C18" s="16" t="s">
        <v>42</v>
      </c>
      <c r="D18" s="16" t="n">
        <v>2000</v>
      </c>
      <c r="E18" s="16" t="s">
        <v>43</v>
      </c>
      <c r="F18" s="17" t="n">
        <f aca="false">IFERROR(VALUE(SUBSTITUTE(D18,",","")),"")</f>
        <v>2000</v>
      </c>
      <c r="G18" s="17" t="n">
        <f aca="false">IF(COUNTIF($B$6:B18,B18)=1,1,0)</f>
        <v>1</v>
      </c>
      <c r="H18" s="17" t="n">
        <f aca="false">IF(AND(G18=1,F18&lt;&gt;""),F18,"")</f>
        <v>2000</v>
      </c>
    </row>
    <row r="19" customFormat="false" ht="18.75" hidden="false" customHeight="true" outlineLevel="0" collapsed="false">
      <c r="B19" s="16" t="s">
        <v>64</v>
      </c>
      <c r="C19" s="16" t="s">
        <v>45</v>
      </c>
      <c r="D19" s="18" t="s">
        <v>46</v>
      </c>
      <c r="E19" s="16" t="s">
        <v>43</v>
      </c>
      <c r="F19" s="17" t="n">
        <f aca="false">IFERROR(VALUE(SUBSTITUTE(D19,",","")),"")</f>
        <v>5000</v>
      </c>
      <c r="G19" s="17" t="n">
        <f aca="false">IF(COUNTIF($B$6:B19,B19)=1,1,0)</f>
        <v>1</v>
      </c>
      <c r="H19" s="17" t="n">
        <f aca="false">IF(AND(G19=1,F19&lt;&gt;""),F19,"")</f>
        <v>5000</v>
      </c>
    </row>
    <row r="20" customFormat="false" ht="18.75" hidden="false" customHeight="true" outlineLevel="0" collapsed="false">
      <c r="B20" s="16" t="s">
        <v>65</v>
      </c>
      <c r="C20" s="16" t="s">
        <v>49</v>
      </c>
      <c r="D20" s="16" t="n">
        <v>2000</v>
      </c>
      <c r="E20" s="16" t="s">
        <v>53</v>
      </c>
      <c r="F20" s="17" t="n">
        <f aca="false">IFERROR(VALUE(SUBSTITUTE(D20,",","")),"")</f>
        <v>2000</v>
      </c>
      <c r="G20" s="17" t="n">
        <f aca="false">IF(COUNTIF($B$6:B20,B20)=1,1,0)</f>
        <v>1</v>
      </c>
      <c r="H20" s="17" t="n">
        <f aca="false">IF(AND(G20=1,F20&lt;&gt;""),F20,"")</f>
        <v>2000</v>
      </c>
    </row>
    <row r="21" customFormat="false" ht="18.75" hidden="false" customHeight="true" outlineLevel="0" collapsed="false">
      <c r="B21" s="16" t="s">
        <v>48</v>
      </c>
      <c r="C21" s="16" t="s">
        <v>49</v>
      </c>
      <c r="D21" s="16" t="n">
        <v>2000</v>
      </c>
      <c r="E21" s="16" t="s">
        <v>50</v>
      </c>
      <c r="F21" s="17" t="n">
        <f aca="false">IFERROR(VALUE(SUBSTITUTE(D21,",","")),"")</f>
        <v>2000</v>
      </c>
      <c r="G21" s="17" t="n">
        <f aca="false">IF(COUNTIF($B$6:B21,B21)=1,1,0)</f>
        <v>0</v>
      </c>
      <c r="H21" s="17" t="str">
        <f aca="false">IF(AND(G21=1,F21&lt;&gt;""),F21,"")</f>
        <v/>
      </c>
    </row>
    <row r="22" customFormat="false" ht="18.75" hidden="false" customHeight="true" outlineLevel="0" collapsed="false">
      <c r="B22" s="16" t="s">
        <v>59</v>
      </c>
      <c r="C22" s="16" t="s">
        <v>49</v>
      </c>
      <c r="D22" s="16" t="n">
        <v>2000</v>
      </c>
      <c r="E22" s="16" t="s">
        <v>43</v>
      </c>
      <c r="F22" s="17" t="n">
        <f aca="false">IFERROR(VALUE(SUBSTITUTE(D22,",","")),"")</f>
        <v>2000</v>
      </c>
      <c r="G22" s="17" t="n">
        <f aca="false">IF(COUNTIF($B$6:B22,B22)=1,1,0)</f>
        <v>0</v>
      </c>
      <c r="H22" s="17" t="str">
        <f aca="false">IF(AND(G22=1,F22&lt;&gt;""),F22,"")</f>
        <v/>
      </c>
    </row>
    <row r="23" customFormat="false" ht="18.75" hidden="false" customHeight="true" outlineLevel="0" collapsed="false">
      <c r="B23" s="16" t="s">
        <v>66</v>
      </c>
      <c r="C23" s="16" t="s">
        <v>42</v>
      </c>
      <c r="D23" s="16"/>
      <c r="E23" s="16" t="s">
        <v>43</v>
      </c>
      <c r="F23" s="17" t="str">
        <f aca="false">IFERROR(VALUE(SUBSTITUTE(D23,",","")),"")</f>
        <v/>
      </c>
      <c r="G23" s="17" t="n">
        <f aca="false">IF(COUNTIF($B$6:B23,B23)=1,1,0)</f>
        <v>1</v>
      </c>
      <c r="H23" s="17" t="str">
        <f aca="false">IF(AND(G23=1,F23&lt;&gt;""),F23,"")</f>
        <v/>
      </c>
    </row>
    <row r="25" customFormat="false" ht="15" hidden="false" customHeight="false" outlineLevel="0" collapsed="false">
      <c r="B25" s="19" t="s">
        <v>67</v>
      </c>
      <c r="F25" s="19" t="s">
        <v>68</v>
      </c>
    </row>
    <row r="26" customFormat="false" ht="16.15" hidden="false" customHeight="false" outlineLevel="0" collapsed="false">
      <c r="B26" s="20" t="s">
        <v>69</v>
      </c>
      <c r="D26" s="21" t="n">
        <f aca="false">AVERAGE(D6:D23)</f>
        <v>2000</v>
      </c>
      <c r="F26" s="20" t="s">
        <v>70</v>
      </c>
      <c r="H26" s="22" t="n">
        <f aca="false">AVERAGE(H6:H23)</f>
        <v>3200</v>
      </c>
    </row>
    <row r="27" customFormat="false" ht="15" hidden="false" customHeight="false" outlineLevel="0" collapsed="false">
      <c r="B27" s="20" t="s">
        <v>71</v>
      </c>
      <c r="D27" s="23" t="n">
        <f aca="false">COUNT(D6:D23)</f>
        <v>11</v>
      </c>
      <c r="F27" s="20" t="s">
        <v>72</v>
      </c>
      <c r="H27" s="23" t="n">
        <f aca="false">COUNT(H6:H23)</f>
        <v>15</v>
      </c>
    </row>
    <row r="28" customFormat="false" ht="15" hidden="false" customHeight="false" outlineLevel="0" collapsed="false">
      <c r="F28" s="20" t="s">
        <v>73</v>
      </c>
      <c r="H28" s="24" t="n">
        <f aca="false">(H26-D26)/H26</f>
        <v>0.375</v>
      </c>
    </row>
    <row r="30" customFormat="false" ht="15" hidden="false" customHeight="false" outlineLevel="0" collapsed="false">
      <c r="B30" s="19" t="s">
        <v>74</v>
      </c>
      <c r="F30" s="25" t="s">
        <v>75</v>
      </c>
      <c r="G30" s="25" t="s">
        <v>12</v>
      </c>
    </row>
    <row r="31" customFormat="false" ht="15" hidden="false" customHeight="false" outlineLevel="0" collapsed="false">
      <c r="B31" s="20" t="s">
        <v>76</v>
      </c>
      <c r="F31" s="26"/>
      <c r="G31" s="27" t="n">
        <f aca="false">SUMPRODUCT(--ISTEXT(D6:D23))</f>
        <v>6</v>
      </c>
    </row>
    <row r="32" customFormat="false" ht="15" hidden="false" customHeight="false" outlineLevel="0" collapsed="false">
      <c r="B32" s="20" t="s">
        <v>77</v>
      </c>
      <c r="F32" s="26"/>
      <c r="G32" s="27" t="n">
        <f aca="false">COUNTA(B6:B23)-SUMPRODUCT(1/COUNTIF(B6:B23,B6:B23))</f>
        <v>2</v>
      </c>
    </row>
    <row r="33" customFormat="false" ht="15" hidden="false" customHeight="false" outlineLevel="0" collapsed="false">
      <c r="B33" s="20" t="s">
        <v>78</v>
      </c>
      <c r="F33" s="26"/>
      <c r="G33" s="27" t="n">
        <f aca="false">COUNTBLANK(D6:D23)</f>
        <v>1</v>
      </c>
    </row>
    <row r="34" customFormat="false" ht="15" hidden="false" customHeight="false" outlineLevel="0" collapsed="false">
      <c r="B34" s="20" t="s">
        <v>79</v>
      </c>
      <c r="F34" s="26"/>
      <c r="G34" s="28" t="s">
        <v>80</v>
      </c>
    </row>
  </sheetData>
  <mergeCells count="3">
    <mergeCell ref="B2:E2"/>
    <mergeCell ref="B3:H3"/>
    <mergeCell ref="G4:H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4" min="3" style="0" width="26"/>
  </cols>
  <sheetData>
    <row r="2" customFormat="false" ht="19.7" hidden="false" customHeight="false" outlineLevel="0" collapsed="false">
      <c r="B2" s="6" t="s">
        <v>81</v>
      </c>
      <c r="C2" s="6"/>
      <c r="D2" s="6"/>
    </row>
    <row r="3" customFormat="false" ht="15" hidden="false" customHeight="false" outlineLevel="0" collapsed="false">
      <c r="B3" s="7" t="s">
        <v>82</v>
      </c>
      <c r="C3" s="7"/>
      <c r="D3" s="7"/>
    </row>
    <row r="5" customFormat="false" ht="25.5" hidden="false" customHeight="true" outlineLevel="0" collapsed="false">
      <c r="B5" s="29" t="s">
        <v>83</v>
      </c>
      <c r="C5" s="29" t="s">
        <v>84</v>
      </c>
      <c r="D5" s="29" t="s">
        <v>85</v>
      </c>
    </row>
    <row r="6" customFormat="false" ht="24" hidden="false" customHeight="true" outlineLevel="0" collapsed="false">
      <c r="B6" s="30" t="s">
        <v>86</v>
      </c>
      <c r="C6" s="31" t="n">
        <f aca="false">COUNTA(Depuración!B6:B23)</f>
        <v>18</v>
      </c>
      <c r="D6" s="32"/>
    </row>
    <row r="7" customFormat="false" ht="24" hidden="false" customHeight="true" outlineLevel="0" collapsed="false">
      <c r="B7" s="30" t="s">
        <v>87</v>
      </c>
      <c r="C7" s="31" t="n">
        <f aca="false">4</f>
        <v>4</v>
      </c>
      <c r="D7" s="32"/>
    </row>
    <row r="8" customFormat="false" ht="24" hidden="false" customHeight="true" outlineLevel="0" collapsed="false">
      <c r="B8" s="30" t="s">
        <v>88</v>
      </c>
      <c r="C8" s="31" t="str">
        <f aca="false">IF(SUMPRODUCT(--ISTEXT(Depuración!D6:D23))&gt;0,"No, hay texto","Sí")</f>
        <v>No, hay texto</v>
      </c>
      <c r="D8" s="32"/>
    </row>
    <row r="9" customFormat="false" ht="24" hidden="false" customHeight="true" outlineLevel="0" collapsed="false">
      <c r="B9" s="30" t="s">
        <v>89</v>
      </c>
      <c r="C9" s="31" t="n">
        <f aca="false">COUNTBLANK(Depuración!D6:D23)</f>
        <v>1</v>
      </c>
      <c r="D9" s="32"/>
    </row>
    <row r="10" customFormat="false" ht="24" hidden="false" customHeight="true" outlineLevel="0" collapsed="false">
      <c r="B10" s="30" t="s">
        <v>90</v>
      </c>
      <c r="C10" s="31" t="n">
        <f aca="false">MIN(Depuración!F6:F23)</f>
        <v>2000</v>
      </c>
      <c r="D10" s="33"/>
    </row>
    <row r="11" customFormat="false" ht="24" hidden="false" customHeight="true" outlineLevel="0" collapsed="false">
      <c r="B11" s="30" t="s">
        <v>91</v>
      </c>
      <c r="C11" s="31" t="n">
        <f aca="false">MAX(Depuración!F6:F23)</f>
        <v>5000</v>
      </c>
      <c r="D11" s="33"/>
    </row>
    <row r="12" customFormat="false" ht="24" hidden="false" customHeight="true" outlineLevel="0" collapsed="false">
      <c r="B12" s="30" t="s">
        <v>92</v>
      </c>
      <c r="C12" s="31" t="n">
        <f aca="false">COUNTA(Depuración!B6:B23)-SUMPRODUCT(1/COUNTIF(Depuración!B6:B23,Depuración!B6:B23))</f>
        <v>2</v>
      </c>
      <c r="D12" s="32"/>
    </row>
    <row r="14" customFormat="false" ht="15" hidden="false" customHeight="true" outlineLevel="0" collapsed="false">
      <c r="B14" s="34" t="s">
        <v>93</v>
      </c>
      <c r="C14" s="34"/>
      <c r="D14" s="34"/>
    </row>
  </sheetData>
  <mergeCells count="3">
    <mergeCell ref="B2:D2"/>
    <mergeCell ref="B3:D3"/>
    <mergeCell ref="B14:D1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0"/>
    <col collapsed="false" customWidth="true" hidden="false" outlineLevel="0" max="4" min="4" style="0" width="16"/>
    <col collapsed="false" customWidth="true" hidden="false" outlineLevel="0" max="5" min="5" style="0" width="34"/>
  </cols>
  <sheetData>
    <row r="2" customFormat="false" ht="19.7" hidden="false" customHeight="false" outlineLevel="0" collapsed="false">
      <c r="B2" s="6" t="s">
        <v>94</v>
      </c>
      <c r="C2" s="6"/>
      <c r="D2" s="6"/>
      <c r="E2" s="6"/>
    </row>
    <row r="3" customFormat="false" ht="15" hidden="false" customHeight="false" outlineLevel="0" collapsed="false">
      <c r="B3" s="7" t="s">
        <v>95</v>
      </c>
      <c r="C3" s="7"/>
      <c r="D3" s="7"/>
      <c r="E3" s="7"/>
    </row>
    <row r="5" customFormat="false" ht="31.5" hidden="false" customHeight="true" outlineLevel="0" collapsed="false">
      <c r="B5" s="29" t="s">
        <v>96</v>
      </c>
      <c r="C5" s="29" t="s">
        <v>97</v>
      </c>
      <c r="D5" s="29" t="s">
        <v>98</v>
      </c>
      <c r="E5" s="29" t="s">
        <v>99</v>
      </c>
    </row>
    <row r="6" customFormat="false" ht="31.5" hidden="false" customHeight="true" outlineLevel="0" collapsed="false">
      <c r="B6" s="35" t="s">
        <v>100</v>
      </c>
      <c r="C6" s="36" t="s">
        <v>101</v>
      </c>
      <c r="D6" s="36" t="s">
        <v>102</v>
      </c>
      <c r="E6" s="36" t="s">
        <v>103</v>
      </c>
    </row>
    <row r="7" customFormat="false" ht="31.5" hidden="false" customHeight="true" outlineLevel="0" collapsed="false">
      <c r="B7" s="37"/>
      <c r="C7" s="37"/>
      <c r="D7" s="37"/>
      <c r="E7" s="37"/>
    </row>
    <row r="8" customFormat="false" ht="31.5" hidden="false" customHeight="true" outlineLevel="0" collapsed="false">
      <c r="B8" s="37"/>
      <c r="C8" s="37"/>
      <c r="D8" s="37"/>
      <c r="E8" s="37"/>
    </row>
    <row r="9" customFormat="false" ht="31.5" hidden="false" customHeight="true" outlineLevel="0" collapsed="false">
      <c r="B9" s="37"/>
      <c r="C9" s="37"/>
      <c r="D9" s="37"/>
      <c r="E9" s="37"/>
    </row>
    <row r="10" customFormat="false" ht="31.5" hidden="false" customHeight="true" outlineLevel="0" collapsed="false">
      <c r="B10" s="37"/>
      <c r="C10" s="37"/>
      <c r="D10" s="37"/>
      <c r="E10" s="37"/>
    </row>
    <row r="11" customFormat="false" ht="31.5" hidden="false" customHeight="true" outlineLevel="0" collapsed="false">
      <c r="B11" s="37"/>
      <c r="C11" s="37"/>
      <c r="D11" s="37"/>
      <c r="E11" s="37"/>
    </row>
    <row r="13" customFormat="false" ht="23.85" hidden="false" customHeight="true" outlineLevel="0" collapsed="false">
      <c r="B13" s="38" t="s">
        <v>104</v>
      </c>
      <c r="C13" s="38"/>
      <c r="D13" s="38"/>
      <c r="E13" s="38"/>
    </row>
  </sheetData>
  <mergeCells count="3">
    <mergeCell ref="B2:E2"/>
    <mergeCell ref="B3:E3"/>
    <mergeCell ref="B13:E1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2026-09-22T04:15:09Z</dcterms:created>
  <dc:creator>openpyxl</dc:creator>
  <dc:description/>
  <dc:language>en-US</dc:language>
  <cp:lastModifiedBy/>
  <dcterms:modified xsi:type="dcterms:W3CDTF">2026-09-22T04:15:09Z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