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P1" sheetId="2" state="visible" r:id="rId4"/>
    <sheet name="P2" sheetId="3" state="visible" r:id="rId5"/>
    <sheet name="Fuente P3" sheetId="4" state="visible" r:id="rId6"/>
    <sheet name="Matriz de evidenci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<sst xmlns="http://schemas.openxmlformats.org/spreadsheetml/2006/main" count="177" uniqueCount="134">
  <si>
    <t xml:space="preserve">Laboratorio Práctico 2 · Sesión 6</t>
  </si>
  <si>
    <t xml:space="preserve">Extraer, medir y trazar · Curso de IA Aplicada, INEGI 2026</t>
  </si>
  <si>
    <t xml:space="preserve">Qué van a hacer</t>
  </si>
  <si>
    <t xml:space="preserve">Parte 1  ·  15 min</t>
  </si>
  <si>
    <t xml:space="preserve">Precisión y recuperación. En la hoja «P1», comparen lo que devolvió la IA contra el artículo. Marquen si cada elemento aparece; la hoja calcula precisión, recuperación y F1.</t>
  </si>
  <si>
    <t xml:space="preserve">Parte 2  ·  15 min</t>
  </si>
  <si>
    <t xml:space="preserve">Acuerdo y kappa. En la hoja «P2», tabulen los 20 comentarios en la tabla de contingencia. La hoja calcula Po, Pe y kappa, y lo interpreta con la escala.</t>
  </si>
  <si>
    <t xml:space="preserve">Parte 3  ·  10 min</t>
  </si>
  <si>
    <t xml:space="preserve">Matriz de evidencia. Lee la hoja «Fuente P3» (fragmento de reglas y resumen de la IA), toma 3 afirmaciones y en la hoja «Matriz de evidencia» llena su fila: cita textual, ubicación, quién verificó y nivel de confianza.</t>
  </si>
  <si>
    <t xml:space="preserve">Cómo se usa el archivo</t>
  </si>
  <si>
    <t xml:space="preserve">Celdas ámbar</t>
  </si>
  <si>
    <t xml:space="preserve">Son las que ustedes llenan. Todo lo demás se calcula solo. No hace falta escribir fórmulas.</t>
  </si>
  <si>
    <t xml:space="preserve">Comprobación</t>
  </si>
  <si>
    <t xml:space="preserve">En la Parte 2, junto a su tabla hay un conteo automático para que verifiquen su tabulación.</t>
  </si>
  <si>
    <t xml:space="preserve">Sin datos reales</t>
  </si>
  <si>
    <t xml:space="preserve">El programa, las cifras y los comentarios son ficticios (dato verde). El mismo ejercicio con expedientes reales sería dato amarillo.</t>
  </si>
  <si>
    <t xml:space="preserve">La regla dura</t>
  </si>
  <si>
    <t xml:space="preserve">Ninguna fila de la matriz puede afirmar algo que la cita no diga. Si le parece evidente y no lo puede trazar, no entra, o entra como hipótesis con confianza baja.</t>
  </si>
  <si>
    <t xml:space="preserve">Para quien programa</t>
  </si>
  <si>
    <t xml:space="preserve">Notebook</t>
  </si>
  <si>
    <t xml:space="preserve">El archivo Laboratorio_S06.ipynb hace lo mismo con sklearn y cohen_kappa_score. Los números deben coincidir con los de esta hoja.</t>
  </si>
  <si>
    <t xml:space="preserve">Parte 1 · Precisión y recuperación</t>
  </si>
  <si>
    <t xml:space="preserve">Programa de Apoyo Alimentario Comunitario (PAAC), ficticio. Reglas de Operación 2025.</t>
  </si>
  <si>
    <t xml:space="preserve">Artículo 8. Para incorporarse al Programa, la persona solicitante deberá cumplir con la totalidad de los siguientes requisitos: (I) residir en una localidad clasificada como de alta o muy alta marginación conforme al índice vigente; (II) formar parte de un hogar cuyo ingreso per cápita se ubique por debajo de la línea de pobreza extrema por ingresos; (III) contar con la CURP de la persona titular del hogar; (IV) presentar comprobante de domicilio con antigüedad no mayor a tres meses; (V) no recibir de manera simultánea otro apoyo alimentario federal por el mismo concepto; y (VI) designar a una sola persona titular, mayor de edad, por hogar. La autoridad no podrá exigir requisitos distintos de los enumerados.</t>
  </si>
  <si>
    <t xml:space="preserve">Marquen la columna ámbar: ¿la IA incluyó cada elemento? (Sí / No). La columna «¿Es requisito?» ya viene dada. El veredicto y los conteos se calculan solos.</t>
  </si>
  <si>
    <t xml:space="preserve">Elemento</t>
  </si>
  <si>
    <t xml:space="preserve">¿Es requisito del Art. 8?</t>
  </si>
  <si>
    <t xml:space="preserve">¿La IA lo incluyó?</t>
  </si>
  <si>
    <t xml:space="preserve">Veredicto</t>
  </si>
  <si>
    <t xml:space="preserve">Residir en localidad de alta o muy alta marginación</t>
  </si>
  <si>
    <t xml:space="preserve">Sí</t>
  </si>
  <si>
    <t xml:space="preserve">Ingreso del hogar bajo la línea de pobreza extrema</t>
  </si>
  <si>
    <t xml:space="preserve">CURP de la persona titular</t>
  </si>
  <si>
    <t xml:space="preserve">Comprobante de domicilio reciente</t>
  </si>
  <si>
    <t xml:space="preserve">No recibir otro apoyo alimentario federal</t>
  </si>
  <si>
    <t xml:space="preserve">Persona titular mayor de edad, una por hogar</t>
  </si>
  <si>
    <t xml:space="preserve">Acta de nacimiento de la persona titular</t>
  </si>
  <si>
    <t xml:space="preserve">No</t>
  </si>
  <si>
    <t xml:space="preserve">Conteos</t>
  </si>
  <si>
    <t xml:space="preserve">Verdaderos positivos (VP)</t>
  </si>
  <si>
    <t xml:space="preserve">Falsos positivos (FP), inventó</t>
  </si>
  <si>
    <t xml:space="preserve">Falsos negativos (FN), omitió</t>
  </si>
  <si>
    <t xml:space="preserve">Resultado</t>
  </si>
  <si>
    <t xml:space="preserve">Precisión = VP / (VP + FP)</t>
  </si>
  <si>
    <t xml:space="preserve">Recuperación = VP / (VP + FN)</t>
  </si>
  <si>
    <t xml:space="preserve">F1 = 2·P·R / (P + R)</t>
  </si>
  <si>
    <t xml:space="preserve">Lectura: una recuperación baja significa que se escaparon requisitos que sí estaban en el artículo.</t>
  </si>
  <si>
    <t xml:space="preserve">Parte 2 · Acuerdo entre codificadores (kappa)</t>
  </si>
  <si>
    <t xml:space="preserve">20 comentarios de una consulta ciudadana (ficticios), clasificados por polaridad.</t>
  </si>
  <si>
    <t xml:space="preserve">Su tabla de contingencia (llénenla)</t>
  </si>
  <si>
    <t xml:space="preserve">#</t>
  </si>
  <si>
    <t xml:space="preserve">Comentario</t>
  </si>
  <si>
    <t xml:space="preserve">A (humano)</t>
  </si>
  <si>
    <t xml:space="preserve">B (IA)</t>
  </si>
  <si>
    <t xml:space="preserve">IA: Positiva</t>
  </si>
  <si>
    <t xml:space="preserve">IA: Negativa</t>
  </si>
  <si>
    <t xml:space="preserve">El apoyo me llegó a tiempo este bimestre, sin problemas.</t>
  </si>
  <si>
    <t xml:space="preserve">Positiva</t>
  </si>
  <si>
    <t xml:space="preserve">Humano: Positiva</t>
  </si>
  <si>
    <t xml:space="preserve">En la ventanilla me atendieron rápido y me explicaron todo.</t>
  </si>
  <si>
    <t xml:space="preserve">Humano: Negativa</t>
  </si>
  <si>
    <t xml:space="preserve">Gracias al programa pude comprar la despensa del mes.</t>
  </si>
  <si>
    <t xml:space="preserve">El trámite fue más sencillo de lo que esperaba.</t>
  </si>
  <si>
    <t xml:space="preserve">Comprobación automática</t>
  </si>
  <si>
    <t xml:space="preserve">El módulo nuevo está bien ubicado y cómodo.</t>
  </si>
  <si>
    <t xml:space="preserve">Ambos Positiva</t>
  </si>
  <si>
    <t xml:space="preserve">Me resolvieron la duda del pago en una sola visita.</t>
  </si>
  <si>
    <t xml:space="preserve">Ambos Negativa</t>
  </si>
  <si>
    <t xml:space="preserve">Llevo tres meses esperando y el apoyo no cae.</t>
  </si>
  <si>
    <t xml:space="preserve">Negativa</t>
  </si>
  <si>
    <t xml:space="preserve">Humano Pos / IA Neg</t>
  </si>
  <si>
    <t xml:space="preserve">Me mandaron de una ventanilla a otra sin resolver nada.</t>
  </si>
  <si>
    <t xml:space="preserve">Humano Neg / IA Pos</t>
  </si>
  <si>
    <t xml:space="preserve">El sistema estaba caído y perdí toda la mañana.</t>
  </si>
  <si>
    <t xml:space="preserve">Nunca contestan el teléfono del módulo.</t>
  </si>
  <si>
    <t xml:space="preserve">Cálculo de kappa (de su tabla)</t>
  </si>
  <si>
    <t xml:space="preserve">Me pidieron un documento que no venía en la lista.</t>
  </si>
  <si>
    <t xml:space="preserve">Total (n)</t>
  </si>
  <si>
    <t xml:space="preserve">Cambiaron la fecha de pago y nadie avisó.</t>
  </si>
  <si>
    <t xml:space="preserve">Acuerdo observado (Po)</t>
  </si>
  <si>
    <t xml:space="preserve">El personal fue grosero cuando pregunté por mi trámite.</t>
  </si>
  <si>
    <t xml:space="preserve">Acuerdo esperado por azar (Pe)</t>
  </si>
  <si>
    <t xml:space="preserve">Me rechazaron sin explicarme el motivo.</t>
  </si>
  <si>
    <t xml:space="preserve">Kappa = (Po − Pe) / (1 − Pe)</t>
  </si>
  <si>
    <t xml:space="preserve">Ya no batallé nada esta vez, todo salió bien.</t>
  </si>
  <si>
    <t xml:space="preserve">Interpretación (Landis y Koch)</t>
  </si>
  <si>
    <t xml:space="preserve">Sin quejas, el pago llegó completo.</t>
  </si>
  <si>
    <t xml:space="preserve">Qué maravilla, solo tres visitas para que me digan que falta un papel.</t>
  </si>
  <si>
    <t xml:space="preserve">Miren los cuatro desacuerdos: son comentarios con sarcasmo o cortesía que la IA leyó al revés. Ahí está el límite de clasificar con IA, y por eso se mide el acuerdo.</t>
  </si>
  <si>
    <t xml:space="preserve">Muy amables para decirme que regrese la próxima semana, otra vez.</t>
  </si>
  <si>
    <t xml:space="preserve">Excelente servicio, si es que algún día contestan.</t>
  </si>
  <si>
    <t xml:space="preserve">Rapidísimos, apenas dos horas formado bajo el sol.</t>
  </si>
  <si>
    <t xml:space="preserve">Parte 3 · Fuente: reglas y resumen de la IA</t>
  </si>
  <si>
    <t xml:space="preserve">Lee las dos partes. En la hoja «Matriz de evidencia» tomarás 3 afirmaciones del resumen y las rastrearás a este fragmento.</t>
  </si>
  <si>
    <t xml:space="preserve">Fragmento de las Reglas de Operación del PAAC (ficticio)</t>
  </si>
  <si>
    <t xml:space="preserve">Artículo 5.</t>
  </si>
  <si>
    <t xml:space="preserve">El Programa tiene por objeto entregar un apoyo económico a hogares para la compra de alimentos.</t>
  </si>
  <si>
    <t xml:space="preserve">Artículo 8.</t>
  </si>
  <si>
    <t xml:space="preserve">Son requisitos residir en localidad de alta o muy alta marginación, tener ingreso por debajo de la línea de pobreza extrema y contar con la CURP de la persona titular.</t>
  </si>
  <si>
    <t xml:space="preserve">Artículo 12.</t>
  </si>
  <si>
    <t xml:space="preserve">El monto del apoyo será de 2,000 pesos por hogar.</t>
  </si>
  <si>
    <t xml:space="preserve">Artículo 14.</t>
  </si>
  <si>
    <t xml:space="preserve">El apoyo se entregará de manera bimestral.</t>
  </si>
  <si>
    <t xml:space="preserve">Artículo 19.</t>
  </si>
  <si>
    <t xml:space="preserve">Las personas beneficiarias deberán asistir a un taller de orientación alimentaria una vez al año.</t>
  </si>
  <si>
    <t xml:space="preserve">Artículo 23.</t>
  </si>
  <si>
    <t xml:space="preserve">El Programa operará en las localidades de alta y muy alta marginación de las entidades seleccionadas.</t>
  </si>
  <si>
    <t xml:space="preserve">Resumen que hizo la IA sobre el programa</t>
  </si>
  <si>
    <t xml:space="preserve">1.</t>
  </si>
  <si>
    <t xml:space="preserve">El apoyo del Programa se entrega cada dos meses.</t>
  </si>
  <si>
    <t xml:space="preserve">2.</t>
  </si>
  <si>
    <t xml:space="preserve">El Programa se dirige a hogares en localidades de alta marginación.</t>
  </si>
  <si>
    <t xml:space="preserve">3.</t>
  </si>
  <si>
    <t xml:space="preserve">El apoyo de 2,000 pesos es suficiente para cubrir la alimentación de un hogar.</t>
  </si>
  <si>
    <t xml:space="preserve">4.</t>
  </si>
  <si>
    <t xml:space="preserve">Para recibir el apoyo hay que asistir a un taller cada mes.</t>
  </si>
  <si>
    <t xml:space="preserve">5.</t>
  </si>
  <si>
    <t xml:space="preserve">El Programa entrega despensas físicas en centros comunitarios.</t>
  </si>
  <si>
    <t xml:space="preserve">Algunas afirmaciones se sostienen con el fragmento y otras no. Al llenar la matriz, revisa que la cita diga exactamente lo que la afirmación asegura.</t>
  </si>
  <si>
    <t xml:space="preserve">Parte 3 · Matriz de evidencia con trazabilidad</t>
  </si>
  <si>
    <t xml:space="preserve">Toma 3 afirmaciones del resumen de la hoja «Fuente P3» y trázalas al fragmento. La primera fila es un ejemplo; llena las de abajo (ámbar).</t>
  </si>
  <si>
    <t xml:space="preserve">Afirmación (como irá en el informe)</t>
  </si>
  <si>
    <t xml:space="preserve">Cita textual (copiada, no parafraseada)</t>
  </si>
  <si>
    <t xml:space="preserve">Documento y ubicación</t>
  </si>
  <si>
    <t xml:space="preserve">Herramienta usada</t>
  </si>
  <si>
    <t xml:space="preserve">Verificada por (nombre)</t>
  </si>
  <si>
    <t xml:space="preserve">Nivel de confianza</t>
  </si>
  <si>
    <t xml:space="preserve">EJEMPLO. El apoyo del Programa es de carácter bimestral.</t>
  </si>
  <si>
    <t xml:space="preserve">«el apoyo se entregará de manera bimestral»</t>
  </si>
  <si>
    <t xml:space="preserve">PAAC, Reglas de Operación 2025, Art. 14</t>
  </si>
  <si>
    <t xml:space="preserve">Copilot</t>
  </si>
  <si>
    <t xml:space="preserve">M. Torres</t>
  </si>
  <si>
    <t xml:space="preserve">Media</t>
  </si>
  <si>
    <t xml:space="preserve">Regla dura: ninguna fila puede afirmar algo que la cita no diga. Si al terminar todas las filas dicen confianza «Alta», algo se hizo mal.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</si>
</sst>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0"/>
    <numFmt numFmtId="167" formatCode="0.000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5293B"/>
      <name val="Arial"/>
      <family val="0"/>
      <charset val="1"/>
    </font>
    <font>
      <sz val="11"/>
      <color rgb="FF60707E"/>
      <name val="Arial"/>
      <family val="0"/>
      <charset val="1"/>
    </font>
    <font>
      <b val="true"/>
      <sz val="11"/>
      <color rgb="FF15293B"/>
      <name val="Arial"/>
      <family val="0"/>
      <charset val="1"/>
    </font>
    <font>
      <sz val="11"/>
      <color rgb="FF1E2A35"/>
      <name val="Arial"/>
      <family val="0"/>
      <charset val="1"/>
    </font>
    <font>
      <b val="true"/>
      <sz val="13"/>
      <color rgb="FFCB5E2E"/>
      <name val="Arial"/>
      <family val="0"/>
      <charset val="1"/>
    </font>
    <font>
      <b val="true"/>
      <sz val="16"/>
      <color rgb="FF15293B"/>
      <name val="Arial"/>
      <family val="0"/>
      <charset val="1"/>
    </font>
    <font>
      <sz val="10"/>
      <color rgb="FF60707E"/>
      <name val="Arial"/>
      <family val="0"/>
      <charset val="1"/>
    </font>
    <font>
      <sz val="10.5"/>
      <color rgb="FF1E2A35"/>
      <name val="Arial"/>
      <family val="0"/>
      <charset val="1"/>
    </font>
    <font>
      <b val="true"/>
      <sz val="10.5"/>
      <color rgb="FF1E2A3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.5"/>
      <color rgb="FF60707E"/>
      <name val="Arial"/>
      <family val="0"/>
      <charset val="1"/>
    </font>
    <font>
      <b val="true"/>
      <sz val="11"/>
      <color rgb="FFCB5E2E"/>
      <name val="Arial"/>
      <family val="0"/>
      <charset val="1"/>
    </font>
    <font>
      <b val="true"/>
      <sz val="11"/>
      <color rgb="FF1E2A35"/>
      <name val="Arial"/>
      <family val="0"/>
      <charset val="1"/>
    </font>
    <font>
      <b val="true"/>
      <sz val="13"/>
      <color rgb="FF15293B"/>
      <name val="Arial"/>
      <family val="0"/>
      <charset val="1"/>
    </font>
    <font>
      <b val="true"/>
      <sz val="10"/>
      <color rgb="FF60707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E2A35"/>
      <name val="Arial"/>
      <family val="0"/>
      <charset val="1"/>
    </font>
    <font>
      <b val="true"/>
      <sz val="12"/>
      <color rgb="FF1E2A35"/>
      <name val="Arial"/>
      <family val="0"/>
      <charset val="1"/>
    </font>
    <font>
      <sz val="9.5"/>
      <color rgb="FF60707E"/>
      <name val="Arial"/>
      <family val="0"/>
      <charset val="1"/>
    </font>
    <font>
      <b val="true"/>
      <sz val="10"/>
      <color rgb="FF1E2A35"/>
      <name val="Arial"/>
      <family val="0"/>
      <charset val="1"/>
    </font>
    <font>
      <b val="true"/>
      <sz val="9.5"/>
      <color rgb="FF60707E"/>
      <name val="Arial"/>
      <family val="0"/>
      <charset val="1"/>
    </font>
    <font>
      <b val="true"/>
      <sz val="12.5"/>
      <color rgb="FFCB5E2E"/>
      <name val="Arial"/>
      <family val="0"/>
      <charset val="1"/>
    </font>
    <font>
      <b val="true"/>
      <sz val="10.5"/>
      <color rgb="FF15293B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b val="true"/>
      <sz val="10"/>
      <color rgb="FFCB5E2E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EF2F5"/>
        <bgColor rgb="FFE7F2EA"/>
      </patternFill>
    </fill>
    <fill>
      <patternFill patternType="solid">
        <fgColor rgb="FF15293B"/>
        <bgColor rgb="FF1E2A35"/>
      </patternFill>
    </fill>
    <fill>
      <patternFill patternType="solid">
        <fgColor rgb="FFFFE699"/>
        <bgColor rgb="FFFFCC99"/>
      </patternFill>
    </fill>
    <fill>
      <patternFill patternType="solid">
        <fgColor rgb="FFE7F2EA"/>
        <bgColor rgb="FFEEF2F5"/>
      </patternFill>
    </fill>
    <fill>
      <patternFill patternType="solid">
        <fgColor rgb="FFF9E7E3"/>
        <bgColor rgb="FFEEF2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CE3"/>
      </left>
      <right style="thin">
        <color rgb="FFD5DCE3"/>
      </right>
      <top style="thin">
        <color rgb="FFD5DCE3"/>
      </top>
      <bottom style="thin">
        <color rgb="FFD5DC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2F5"/>
      <rgbColor rgb="FFE7F2EA"/>
      <rgbColor rgb="FF660066"/>
      <rgbColor rgb="FFFF8080"/>
      <rgbColor rgb="FF0066CC"/>
      <rgbColor rgb="FFD5DC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9E7E3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B5E2E"/>
      <rgbColor rgb="FF60707E"/>
      <rgbColor rgb="FF969696"/>
      <rgbColor rgb="FF15293B"/>
      <rgbColor rgb="FF339966"/>
      <rgbColor rgb="FF003300"/>
      <rgbColor rgb="FF333300"/>
      <rgbColor rgb="FF993300"/>
      <rgbColor rgb="FF993366"/>
      <rgbColor rgb="FF333399"/>
      <rgbColor rgb="FF1E2A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78"/>
  </cols>
  <sheetData>
    <row r="2" customFormat="false" ht="22.05" hidden="false" customHeight="false" outlineLevel="0" collapsed="false">
      <c r="B2" s="1" t="s">
        <v>0</v>
      </c>
      <c r="C2" s="1"/>
    </row>
    <row r="3" customFormat="false" ht="15" hidden="false" customHeight="false" outlineLevel="0" collapsed="false">
      <c r="B3" s="2" t="s">
        <v>1</v>
      </c>
      <c r="C3" s="2"/>
    </row>
    <row r="5" customFormat="false" ht="7.5" hidden="false" customHeight="true" outlineLevel="0" collapsed="false">
      <c r="B5" s="3"/>
      <c r="C5" s="4"/>
    </row>
    <row r="6" customFormat="false" ht="16.15" hidden="false" customHeight="false" outlineLevel="0" collapsed="false">
      <c r="B6" s="5" t="s">
        <v>2</v>
      </c>
      <c r="C6" s="5"/>
    </row>
    <row r="7" customFormat="false" ht="43.5" hidden="false" customHeight="true" outlineLevel="0" collapsed="false">
      <c r="B7" s="3" t="s">
        <v>3</v>
      </c>
      <c r="C7" s="4" t="s">
        <v>4</v>
      </c>
    </row>
    <row r="8" customFormat="false" ht="43.5" hidden="false" customHeight="true" outlineLevel="0" collapsed="false">
      <c r="B8" s="3" t="s">
        <v>5</v>
      </c>
      <c r="C8" s="4" t="s">
        <v>6</v>
      </c>
    </row>
    <row r="9" customFormat="false" ht="43.5" hidden="false" customHeight="true" outlineLevel="0" collapsed="false">
      <c r="B9" s="3" t="s">
        <v>7</v>
      </c>
      <c r="C9" s="4" t="s">
        <v>8</v>
      </c>
    </row>
    <row r="10" customFormat="false" ht="7.5" hidden="false" customHeight="true" outlineLevel="0" collapsed="false">
      <c r="B10" s="3"/>
      <c r="C10" s="4"/>
    </row>
    <row r="11" customFormat="false" ht="16.15" hidden="false" customHeight="false" outlineLevel="0" collapsed="false">
      <c r="B11" s="5" t="s">
        <v>9</v>
      </c>
      <c r="C11" s="5"/>
    </row>
    <row r="12" customFormat="false" ht="43.5" hidden="false" customHeight="true" outlineLevel="0" collapsed="false">
      <c r="B12" s="3" t="s">
        <v>10</v>
      </c>
      <c r="C12" s="4" t="s">
        <v>11</v>
      </c>
    </row>
    <row r="13" customFormat="false" ht="43.5" hidden="false" customHeight="true" outlineLevel="0" collapsed="false">
      <c r="B13" s="3" t="s">
        <v>12</v>
      </c>
      <c r="C13" s="4" t="s">
        <v>13</v>
      </c>
    </row>
    <row r="14" customFormat="false" ht="43.5" hidden="false" customHeight="true" outlineLevel="0" collapsed="false">
      <c r="B14" s="3" t="s">
        <v>14</v>
      </c>
      <c r="C14" s="4" t="s">
        <v>15</v>
      </c>
    </row>
    <row r="15" customFormat="false" ht="7.5" hidden="false" customHeight="true" outlineLevel="0" collapsed="false">
      <c r="B15" s="3"/>
      <c r="C15" s="4"/>
    </row>
    <row r="16" customFormat="false" ht="16.15" hidden="false" customHeight="false" outlineLevel="0" collapsed="false">
      <c r="B16" s="5" t="s">
        <v>16</v>
      </c>
      <c r="C16" s="5"/>
    </row>
    <row r="17" customFormat="false" ht="43.5" hidden="false" customHeight="true" outlineLevel="0" collapsed="false">
      <c r="B17" s="3"/>
      <c r="C17" s="4" t="s">
        <v>17</v>
      </c>
    </row>
    <row r="18" customFormat="false" ht="7.5" hidden="false" customHeight="true" outlineLevel="0" collapsed="false">
      <c r="B18" s="3"/>
      <c r="C18" s="4"/>
    </row>
    <row r="19" customFormat="false" ht="16.15" hidden="false" customHeight="false" outlineLevel="0" collapsed="false">
      <c r="B19" s="5" t="s">
        <v>18</v>
      </c>
      <c r="C19" s="5"/>
    </row>
    <row r="20" customFormat="false" ht="43.5" hidden="false" customHeight="true" outlineLevel="0" collapsed="false">
      <c r="B20" s="3" t="s">
        <v>19</v>
      </c>
      <c r="C20" s="4" t="s">
        <v>20</v>
      </c>
    </row>
  </sheetData>
  <mergeCells count="6">
    <mergeCell ref="B2:C2"/>
    <mergeCell ref="B3:C3"/>
    <mergeCell ref="B6:C6"/>
    <mergeCell ref="B11:C11"/>
    <mergeCell ref="B16:C16"/>
    <mergeCell ref="B19:C19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E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4" min="3" style="0" width="20"/>
    <col collapsed="false" customWidth="true" hidden="false" outlineLevel="0" max="5" min="5" style="0" width="16"/>
    <col collapsed="false" customWidth="true" hidden="false" outlineLevel="0" max="6" min="6" style="0" width="3"/>
    <col collapsed="false" customWidth="true" hidden="false" outlineLevel="0" max="7" min="7" style="0" width="22"/>
    <col collapsed="false" customWidth="true" hidden="false" outlineLevel="0" max="8" min="8" style="0" width="12"/>
  </cols>
  <sheetData>
    <row r="2" customFormat="false" ht="19.7" hidden="false" customHeight="false" outlineLevel="0" collapsed="false">
      <c r="B2" s="6" t="s">
        <v>21</v>
      </c>
      <c r="C2" s="6"/>
      <c r="D2" s="6"/>
      <c r="E2" s="6"/>
    </row>
    <row r="3" customFormat="false" ht="15" hidden="false" customHeight="false" outlineLevel="0" collapsed="false">
      <c r="B3" s="7" t="s">
        <v>22</v>
      </c>
      <c r="C3" s="7"/>
      <c r="D3" s="7"/>
      <c r="E3" s="7"/>
    </row>
    <row r="5" customFormat="false" ht="15" hidden="false" customHeight="true" outlineLevel="0" collapsed="false">
      <c r="B5" s="8" t="s">
        <v>23</v>
      </c>
      <c r="C5" s="8"/>
      <c r="D5" s="8"/>
      <c r="E5" s="8"/>
    </row>
    <row r="6" customFormat="false" ht="15" hidden="false" customHeight="false" outlineLevel="0" collapsed="false">
      <c r="B6" s="8"/>
      <c r="C6" s="8"/>
      <c r="D6" s="8"/>
      <c r="E6" s="8"/>
    </row>
    <row r="7" customFormat="false" ht="15" hidden="false" customHeight="false" outlineLevel="0" collapsed="false">
      <c r="B7" s="8"/>
      <c r="C7" s="8"/>
      <c r="D7" s="8"/>
      <c r="E7" s="8"/>
    </row>
    <row r="8" customFormat="false" ht="15" hidden="false" customHeight="false" outlineLevel="0" collapsed="false">
      <c r="B8" s="8"/>
      <c r="C8" s="8"/>
      <c r="D8" s="8"/>
      <c r="E8" s="8"/>
    </row>
    <row r="9" customFormat="false" ht="15" hidden="false" customHeight="false" outlineLevel="0" collapsed="false">
      <c r="B9" s="8"/>
      <c r="C9" s="8"/>
      <c r="D9" s="8"/>
      <c r="E9" s="8"/>
    </row>
    <row r="11" customFormat="false" ht="30" hidden="false" customHeight="true" outlineLevel="0" collapsed="false">
      <c r="B11" s="9" t="s">
        <v>24</v>
      </c>
      <c r="C11" s="9"/>
      <c r="D11" s="9"/>
      <c r="E11" s="9"/>
    </row>
    <row r="13" customFormat="false" ht="30" hidden="false" customHeight="true" outlineLevel="0" collapsed="false">
      <c r="B13" s="10" t="s">
        <v>25</v>
      </c>
      <c r="C13" s="10" t="s">
        <v>26</v>
      </c>
      <c r="D13" s="10" t="s">
        <v>27</v>
      </c>
      <c r="E13" s="10" t="s">
        <v>28</v>
      </c>
    </row>
    <row r="14" customFormat="false" ht="21.75" hidden="false" customHeight="true" outlineLevel="0" collapsed="false">
      <c r="B14" s="11" t="s">
        <v>29</v>
      </c>
      <c r="C14" s="12" t="s">
        <v>30</v>
      </c>
      <c r="D14" s="13"/>
      <c r="E14" s="14" t="str">
        <f aca="false">IF(D14="","",IF(AND(C14="Sí",D14="Sí"),"VP",IF(AND(C14="Sí",D14="No"),"FN",IF(AND(C14="No",D14="Sí"),"FP","VN"))))</f>
        <v/>
      </c>
    </row>
    <row r="15" customFormat="false" ht="21.75" hidden="false" customHeight="true" outlineLevel="0" collapsed="false">
      <c r="B15" s="11" t="s">
        <v>31</v>
      </c>
      <c r="C15" s="12" t="s">
        <v>30</v>
      </c>
      <c r="D15" s="13"/>
      <c r="E15" s="14" t="str">
        <f aca="false">IF(D15="","",IF(AND(C15="Sí",D15="Sí"),"VP",IF(AND(C15="Sí",D15="No"),"FN",IF(AND(C15="No",D15="Sí"),"FP","VN"))))</f>
        <v/>
      </c>
    </row>
    <row r="16" customFormat="false" ht="21.75" hidden="false" customHeight="true" outlineLevel="0" collapsed="false">
      <c r="B16" s="11" t="s">
        <v>32</v>
      </c>
      <c r="C16" s="12" t="s">
        <v>30</v>
      </c>
      <c r="D16" s="13"/>
      <c r="E16" s="14" t="str">
        <f aca="false">IF(D16="","",IF(AND(C16="Sí",D16="Sí"),"VP",IF(AND(C16="Sí",D16="No"),"FN",IF(AND(C16="No",D16="Sí"),"FP","VN"))))</f>
        <v/>
      </c>
    </row>
    <row r="17" customFormat="false" ht="21.75" hidden="false" customHeight="true" outlineLevel="0" collapsed="false">
      <c r="B17" s="11" t="s">
        <v>33</v>
      </c>
      <c r="C17" s="12" t="s">
        <v>30</v>
      </c>
      <c r="D17" s="13"/>
      <c r="E17" s="14" t="str">
        <f aca="false">IF(D17="","",IF(AND(C17="Sí",D17="Sí"),"VP",IF(AND(C17="Sí",D17="No"),"FN",IF(AND(C17="No",D17="Sí"),"FP","VN"))))</f>
        <v/>
      </c>
    </row>
    <row r="18" customFormat="false" ht="21.75" hidden="false" customHeight="true" outlineLevel="0" collapsed="false">
      <c r="B18" s="11" t="s">
        <v>34</v>
      </c>
      <c r="C18" s="12" t="s">
        <v>30</v>
      </c>
      <c r="D18" s="13"/>
      <c r="E18" s="14" t="str">
        <f aca="false">IF(D18="","",IF(AND(C18="Sí",D18="Sí"),"VP",IF(AND(C18="Sí",D18="No"),"FN",IF(AND(C18="No",D18="Sí"),"FP","VN"))))</f>
        <v/>
      </c>
    </row>
    <row r="19" customFormat="false" ht="21.75" hidden="false" customHeight="true" outlineLevel="0" collapsed="false">
      <c r="B19" s="11" t="s">
        <v>35</v>
      </c>
      <c r="C19" s="12" t="s">
        <v>30</v>
      </c>
      <c r="D19" s="13"/>
      <c r="E19" s="14" t="str">
        <f aca="false">IF(D19="","",IF(AND(C19="Sí",D19="Sí"),"VP",IF(AND(C19="Sí",D19="No"),"FN",IF(AND(C19="No",D19="Sí"),"FP","VN"))))</f>
        <v/>
      </c>
    </row>
    <row r="20" customFormat="false" ht="21.75" hidden="false" customHeight="true" outlineLevel="0" collapsed="false">
      <c r="B20" s="11" t="s">
        <v>36</v>
      </c>
      <c r="C20" s="12" t="s">
        <v>37</v>
      </c>
      <c r="D20" s="13"/>
      <c r="E20" s="14" t="str">
        <f aca="false">IF(D20="","",IF(AND(C20="Sí",D20="Sí"),"VP",IF(AND(C20="Sí",D20="No"),"FN",IF(AND(C20="No",D20="Sí"),"FP","VN"))))</f>
        <v/>
      </c>
    </row>
    <row r="22" customFormat="false" ht="15" hidden="false" customHeight="false" outlineLevel="0" collapsed="false">
      <c r="B22" s="15" t="s">
        <v>38</v>
      </c>
    </row>
    <row r="23" customFormat="false" ht="15" hidden="false" customHeight="false" outlineLevel="0" collapsed="false">
      <c r="B23" s="16" t="s">
        <v>39</v>
      </c>
      <c r="C23" s="17" t="n">
        <f aca="false">COUNTIF($E$14:$E$20,"VP")</f>
        <v>0</v>
      </c>
    </row>
    <row r="24" customFormat="false" ht="15" hidden="false" customHeight="false" outlineLevel="0" collapsed="false">
      <c r="B24" s="16" t="s">
        <v>40</v>
      </c>
      <c r="C24" s="18" t="n">
        <f aca="false">COUNTIF($E$14:$E$20,"FP")</f>
        <v>0</v>
      </c>
    </row>
    <row r="25" customFormat="false" ht="15" hidden="false" customHeight="false" outlineLevel="0" collapsed="false">
      <c r="B25" s="16" t="s">
        <v>41</v>
      </c>
      <c r="C25" s="18" t="n">
        <f aca="false">COUNTIF($E$14:$E$20,"FN")</f>
        <v>0</v>
      </c>
    </row>
    <row r="27" customFormat="false" ht="15" hidden="false" customHeight="false" outlineLevel="0" collapsed="false">
      <c r="B27" s="15" t="s">
        <v>42</v>
      </c>
    </row>
    <row r="28" customFormat="false" ht="16.15" hidden="false" customHeight="false" outlineLevel="0" collapsed="false">
      <c r="B28" s="19" t="s">
        <v>43</v>
      </c>
      <c r="C28" s="20" t="str">
        <f aca="false">IF((C23+C24)=0,"",C23/(C23+C24))</f>
        <v/>
      </c>
    </row>
    <row r="29" customFormat="false" ht="16.15" hidden="false" customHeight="false" outlineLevel="0" collapsed="false">
      <c r="B29" s="19" t="s">
        <v>44</v>
      </c>
      <c r="C29" s="20" t="str">
        <f aca="false">IF((C23+C25)=0,"",C23/(C23+C25))</f>
        <v/>
      </c>
    </row>
    <row r="30" customFormat="false" ht="16.15" hidden="false" customHeight="false" outlineLevel="0" collapsed="false">
      <c r="B30" s="19" t="s">
        <v>45</v>
      </c>
      <c r="C30" s="20" t="str">
        <f aca="false">IFERROR(2*C28*C29/(C28+C29),"")</f>
        <v/>
      </c>
    </row>
    <row r="32" customFormat="false" ht="15" hidden="false" customHeight="false" outlineLevel="0" collapsed="false">
      <c r="B32" s="21" t="s">
        <v>46</v>
      </c>
    </row>
  </sheetData>
  <mergeCells count="4">
    <mergeCell ref="B2:E2"/>
    <mergeCell ref="B3:E3"/>
    <mergeCell ref="B5:E9"/>
    <mergeCell ref="B11:E11"/>
  </mergeCells>
  <dataValidations count="1">
    <dataValidation allowBlank="true" errorStyle="stop" operator="between" showDropDown="false" showErrorMessage="false" showInputMessage="false" sqref="D14:D20" type="list">
      <formula1>"Sí,No"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54"/>
    <col collapsed="false" customWidth="true" hidden="false" outlineLevel="0" max="5" min="4" style="0" width="16"/>
    <col collapsed="false" customWidth="true" hidden="false" outlineLevel="0" max="6" min="6" style="0" width="3"/>
    <col collapsed="false" customWidth="true" hidden="false" outlineLevel="0" max="7" min="7" style="0" width="22"/>
    <col collapsed="false" customWidth="true" hidden="false" outlineLevel="0" max="10" min="8" style="0" width="12"/>
  </cols>
  <sheetData>
    <row r="2" customFormat="false" ht="19.7" hidden="false" customHeight="false" outlineLevel="0" collapsed="false">
      <c r="B2" s="6" t="s">
        <v>47</v>
      </c>
      <c r="C2" s="6"/>
      <c r="D2" s="6"/>
      <c r="E2" s="6"/>
    </row>
    <row r="3" customFormat="false" ht="15" hidden="false" customHeight="false" outlineLevel="0" collapsed="false">
      <c r="B3" s="7" t="s">
        <v>48</v>
      </c>
      <c r="C3" s="7"/>
      <c r="D3" s="7"/>
      <c r="E3" s="7"/>
    </row>
    <row r="4" customFormat="false" ht="15" hidden="false" customHeight="false" outlineLevel="0" collapsed="false">
      <c r="G4" s="15" t="s">
        <v>49</v>
      </c>
    </row>
    <row r="5" customFormat="false" ht="25.5" hidden="false" customHeight="true" outlineLevel="0" collapsed="false">
      <c r="B5" s="10" t="s">
        <v>50</v>
      </c>
      <c r="C5" s="10" t="s">
        <v>51</v>
      </c>
      <c r="D5" s="10" t="s">
        <v>52</v>
      </c>
      <c r="E5" s="10" t="s">
        <v>53</v>
      </c>
      <c r="H5" s="22" t="s">
        <v>54</v>
      </c>
      <c r="I5" s="22" t="s">
        <v>55</v>
      </c>
    </row>
    <row r="6" customFormat="false" ht="19.5" hidden="false" customHeight="true" outlineLevel="0" collapsed="false">
      <c r="B6" s="23" t="n">
        <v>1</v>
      </c>
      <c r="C6" s="24" t="s">
        <v>56</v>
      </c>
      <c r="D6" s="25" t="s">
        <v>57</v>
      </c>
      <c r="E6" s="25" t="s">
        <v>57</v>
      </c>
      <c r="G6" s="26" t="s">
        <v>58</v>
      </c>
      <c r="H6" s="27"/>
      <c r="I6" s="27"/>
    </row>
    <row r="7" customFormat="false" ht="19.5" hidden="false" customHeight="true" outlineLevel="0" collapsed="false">
      <c r="B7" s="23" t="n">
        <v>2</v>
      </c>
      <c r="C7" s="24" t="s">
        <v>59</v>
      </c>
      <c r="D7" s="25" t="s">
        <v>57</v>
      </c>
      <c r="E7" s="25" t="s">
        <v>57</v>
      </c>
      <c r="G7" s="26" t="s">
        <v>60</v>
      </c>
      <c r="H7" s="27"/>
      <c r="I7" s="27"/>
    </row>
    <row r="8" customFormat="false" ht="19.5" hidden="false" customHeight="true" outlineLevel="0" collapsed="false">
      <c r="B8" s="23" t="n">
        <v>3</v>
      </c>
      <c r="C8" s="24" t="s">
        <v>61</v>
      </c>
      <c r="D8" s="25" t="s">
        <v>57</v>
      </c>
      <c r="E8" s="25" t="s">
        <v>57</v>
      </c>
    </row>
    <row r="9" customFormat="false" ht="19.5" hidden="false" customHeight="true" outlineLevel="0" collapsed="false">
      <c r="B9" s="23" t="n">
        <v>4</v>
      </c>
      <c r="C9" s="24" t="s">
        <v>62</v>
      </c>
      <c r="D9" s="25" t="s">
        <v>57</v>
      </c>
      <c r="E9" s="25" t="s">
        <v>57</v>
      </c>
      <c r="G9" s="21" t="s">
        <v>63</v>
      </c>
    </row>
    <row r="10" customFormat="false" ht="19.5" hidden="false" customHeight="true" outlineLevel="0" collapsed="false">
      <c r="B10" s="23" t="n">
        <v>5</v>
      </c>
      <c r="C10" s="24" t="s">
        <v>64</v>
      </c>
      <c r="D10" s="25" t="s">
        <v>57</v>
      </c>
      <c r="E10" s="25" t="s">
        <v>57</v>
      </c>
      <c r="G10" s="28" t="s">
        <v>65</v>
      </c>
      <c r="I10" s="29" t="n">
        <f aca="false">COUNTIFS($D$6:$D$25,"Positiva",$E$6:$E$25,"Positiva")</f>
        <v>6</v>
      </c>
    </row>
    <row r="11" customFormat="false" ht="19.5" hidden="false" customHeight="true" outlineLevel="0" collapsed="false">
      <c r="B11" s="23" t="n">
        <v>6</v>
      </c>
      <c r="C11" s="24" t="s">
        <v>66</v>
      </c>
      <c r="D11" s="25" t="s">
        <v>57</v>
      </c>
      <c r="E11" s="25" t="s">
        <v>57</v>
      </c>
      <c r="G11" s="28" t="s">
        <v>67</v>
      </c>
      <c r="I11" s="29" t="n">
        <f aca="false">COUNTIFS($D$6:$D$25,"Negativa",$E$6:$E$25,"Negativa")</f>
        <v>8</v>
      </c>
    </row>
    <row r="12" customFormat="false" ht="19.5" hidden="false" customHeight="true" outlineLevel="0" collapsed="false">
      <c r="B12" s="23" t="n">
        <v>7</v>
      </c>
      <c r="C12" s="24" t="s">
        <v>68</v>
      </c>
      <c r="D12" s="25" t="s">
        <v>69</v>
      </c>
      <c r="E12" s="25" t="s">
        <v>69</v>
      </c>
      <c r="G12" s="28" t="s">
        <v>70</v>
      </c>
      <c r="I12" s="29" t="n">
        <f aca="false">COUNTIFS($D$6:$D$25,"Positiva",$E$6:$E$25,"Negativa")</f>
        <v>2</v>
      </c>
    </row>
    <row r="13" customFormat="false" ht="19.5" hidden="false" customHeight="true" outlineLevel="0" collapsed="false">
      <c r="B13" s="23" t="n">
        <v>8</v>
      </c>
      <c r="C13" s="24" t="s">
        <v>71</v>
      </c>
      <c r="D13" s="25" t="s">
        <v>69</v>
      </c>
      <c r="E13" s="25" t="s">
        <v>69</v>
      </c>
      <c r="G13" s="28" t="s">
        <v>72</v>
      </c>
      <c r="I13" s="29" t="n">
        <f aca="false">COUNTIFS($D$6:$D$25,"Negativa",$E$6:$E$25,"Positiva")</f>
        <v>4</v>
      </c>
    </row>
    <row r="14" customFormat="false" ht="19.5" hidden="false" customHeight="true" outlineLevel="0" collapsed="false">
      <c r="B14" s="23" t="n">
        <v>9</v>
      </c>
      <c r="C14" s="24" t="s">
        <v>73</v>
      </c>
      <c r="D14" s="25" t="s">
        <v>69</v>
      </c>
      <c r="E14" s="25" t="s">
        <v>69</v>
      </c>
    </row>
    <row r="15" customFormat="false" ht="19.5" hidden="false" customHeight="true" outlineLevel="0" collapsed="false">
      <c r="B15" s="23" t="n">
        <v>10</v>
      </c>
      <c r="C15" s="24" t="s">
        <v>74</v>
      </c>
      <c r="D15" s="25" t="s">
        <v>69</v>
      </c>
      <c r="E15" s="25" t="s">
        <v>69</v>
      </c>
      <c r="G15" s="15" t="s">
        <v>75</v>
      </c>
    </row>
    <row r="16" customFormat="false" ht="19.5" hidden="false" customHeight="true" outlineLevel="0" collapsed="false">
      <c r="B16" s="23" t="n">
        <v>11</v>
      </c>
      <c r="C16" s="24" t="s">
        <v>76</v>
      </c>
      <c r="D16" s="25" t="s">
        <v>69</v>
      </c>
      <c r="E16" s="25" t="s">
        <v>69</v>
      </c>
      <c r="G16" s="30" t="s">
        <v>77</v>
      </c>
      <c r="I16" s="31" t="n">
        <f aca="false">H6+I6+H7+I7</f>
        <v>0</v>
      </c>
    </row>
    <row r="17" customFormat="false" ht="19.5" hidden="false" customHeight="true" outlineLevel="0" collapsed="false">
      <c r="B17" s="23" t="n">
        <v>12</v>
      </c>
      <c r="C17" s="24" t="s">
        <v>78</v>
      </c>
      <c r="D17" s="25" t="s">
        <v>69</v>
      </c>
      <c r="E17" s="25" t="s">
        <v>69</v>
      </c>
      <c r="G17" s="30" t="s">
        <v>79</v>
      </c>
      <c r="I17" s="32" t="str">
        <f aca="false">IF(I16=0,"",(H6+I7)/I16)</f>
        <v/>
      </c>
    </row>
    <row r="18" customFormat="false" ht="19.5" hidden="false" customHeight="true" outlineLevel="0" collapsed="false">
      <c r="B18" s="23" t="n">
        <v>13</v>
      </c>
      <c r="C18" s="24" t="s">
        <v>80</v>
      </c>
      <c r="D18" s="25" t="s">
        <v>69</v>
      </c>
      <c r="E18" s="25" t="s">
        <v>69</v>
      </c>
      <c r="G18" s="30" t="s">
        <v>81</v>
      </c>
      <c r="I18" s="32" t="str">
        <f aca="false">IF(I16=0,"",((H6+I6)/I16)*((H6+H7)/I16)+((H7+I7)/I16)*((I6+I7)/I16))</f>
        <v/>
      </c>
    </row>
    <row r="19" customFormat="false" ht="19.5" hidden="false" customHeight="true" outlineLevel="0" collapsed="false">
      <c r="B19" s="23" t="n">
        <v>14</v>
      </c>
      <c r="C19" s="24" t="s">
        <v>82</v>
      </c>
      <c r="D19" s="25" t="s">
        <v>69</v>
      </c>
      <c r="E19" s="25" t="s">
        <v>69</v>
      </c>
      <c r="G19" s="33" t="s">
        <v>83</v>
      </c>
      <c r="I19" s="34" t="str">
        <f aca="false">IFERROR((I17-I18)/(1-I18),"")</f>
        <v/>
      </c>
    </row>
    <row r="20" customFormat="false" ht="19.5" hidden="false" customHeight="true" outlineLevel="0" collapsed="false">
      <c r="B20" s="23" t="n">
        <v>15</v>
      </c>
      <c r="C20" s="24" t="s">
        <v>84</v>
      </c>
      <c r="D20" s="25" t="s">
        <v>57</v>
      </c>
      <c r="E20" s="25" t="s">
        <v>69</v>
      </c>
      <c r="G20" s="30" t="s">
        <v>85</v>
      </c>
      <c r="I20" s="35" t="str">
        <f aca="false">IF(I19="","",IF(I19&lt;0,"Pobre",IF(I19&lt;=0.2,"Leve",IF(I19&lt;=0.4,"Aceptable",IF(I19&lt;=0.6,"Moderado",IF(I19&lt;=0.8,"Sustancial","Casi perfecto"))))))</f>
        <v/>
      </c>
    </row>
    <row r="21" customFormat="false" ht="19.5" hidden="false" customHeight="true" outlineLevel="0" collapsed="false">
      <c r="B21" s="23" t="n">
        <v>16</v>
      </c>
      <c r="C21" s="24" t="s">
        <v>86</v>
      </c>
      <c r="D21" s="25" t="s">
        <v>57</v>
      </c>
      <c r="E21" s="25" t="s">
        <v>69</v>
      </c>
    </row>
    <row r="22" customFormat="false" ht="19.5" hidden="false" customHeight="true" outlineLevel="0" collapsed="false">
      <c r="B22" s="23" t="n">
        <v>17</v>
      </c>
      <c r="C22" s="24" t="s">
        <v>87</v>
      </c>
      <c r="D22" s="25" t="s">
        <v>69</v>
      </c>
      <c r="E22" s="25" t="s">
        <v>57</v>
      </c>
      <c r="G22" s="36" t="s">
        <v>88</v>
      </c>
      <c r="H22" s="36"/>
      <c r="I22" s="36"/>
    </row>
    <row r="23" customFormat="false" ht="19.5" hidden="false" customHeight="true" outlineLevel="0" collapsed="false">
      <c r="B23" s="23" t="n">
        <v>18</v>
      </c>
      <c r="C23" s="24" t="s">
        <v>89</v>
      </c>
      <c r="D23" s="25" t="s">
        <v>69</v>
      </c>
      <c r="E23" s="25" t="s">
        <v>57</v>
      </c>
      <c r="G23" s="36"/>
      <c r="H23" s="36"/>
      <c r="I23" s="36"/>
    </row>
    <row r="24" customFormat="false" ht="19.5" hidden="false" customHeight="true" outlineLevel="0" collapsed="false">
      <c r="B24" s="23" t="n">
        <v>19</v>
      </c>
      <c r="C24" s="24" t="s">
        <v>90</v>
      </c>
      <c r="D24" s="25" t="s">
        <v>69</v>
      </c>
      <c r="E24" s="25" t="s">
        <v>57</v>
      </c>
      <c r="G24" s="36"/>
      <c r="H24" s="36"/>
      <c r="I24" s="36"/>
    </row>
    <row r="25" customFormat="false" ht="19.5" hidden="false" customHeight="true" outlineLevel="0" collapsed="false">
      <c r="B25" s="23" t="n">
        <v>20</v>
      </c>
      <c r="C25" s="24" t="s">
        <v>91</v>
      </c>
      <c r="D25" s="25" t="s">
        <v>69</v>
      </c>
      <c r="E25" s="25" t="s">
        <v>57</v>
      </c>
    </row>
  </sheetData>
  <mergeCells count="3">
    <mergeCell ref="B2:E2"/>
    <mergeCell ref="B3:E3"/>
    <mergeCell ref="G22:I24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84"/>
  </cols>
  <sheetData>
    <row r="2" customFormat="false" ht="19.7" hidden="false" customHeight="false" outlineLevel="0" collapsed="false">
      <c r="B2" s="6" t="s">
        <v>92</v>
      </c>
      <c r="C2" s="6"/>
    </row>
    <row r="3" customFormat="false" ht="15" hidden="false" customHeight="false" outlineLevel="0" collapsed="false">
      <c r="B3" s="7" t="s">
        <v>93</v>
      </c>
      <c r="C3" s="7"/>
    </row>
    <row r="5" customFormat="false" ht="15" hidden="false" customHeight="false" outlineLevel="0" collapsed="false">
      <c r="B5" s="37" t="s">
        <v>94</v>
      </c>
      <c r="C5" s="37"/>
    </row>
    <row r="6" customFormat="false" ht="30" hidden="false" customHeight="true" outlineLevel="0" collapsed="false">
      <c r="B6" s="38" t="s">
        <v>95</v>
      </c>
      <c r="C6" s="8" t="s">
        <v>96</v>
      </c>
    </row>
    <row r="7" customFormat="false" ht="30" hidden="false" customHeight="true" outlineLevel="0" collapsed="false">
      <c r="B7" s="38" t="s">
        <v>97</v>
      </c>
      <c r="C7" s="8" t="s">
        <v>98</v>
      </c>
    </row>
    <row r="8" customFormat="false" ht="30" hidden="false" customHeight="true" outlineLevel="0" collapsed="false">
      <c r="B8" s="38" t="s">
        <v>99</v>
      </c>
      <c r="C8" s="8" t="s">
        <v>100</v>
      </c>
    </row>
    <row r="9" customFormat="false" ht="30" hidden="false" customHeight="true" outlineLevel="0" collapsed="false">
      <c r="B9" s="38" t="s">
        <v>101</v>
      </c>
      <c r="C9" s="8" t="s">
        <v>102</v>
      </c>
    </row>
    <row r="10" customFormat="false" ht="30" hidden="false" customHeight="true" outlineLevel="0" collapsed="false">
      <c r="B10" s="38" t="s">
        <v>103</v>
      </c>
      <c r="C10" s="8" t="s">
        <v>104</v>
      </c>
    </row>
    <row r="11" customFormat="false" ht="30" hidden="false" customHeight="true" outlineLevel="0" collapsed="false">
      <c r="B11" s="38" t="s">
        <v>105</v>
      </c>
      <c r="C11" s="8" t="s">
        <v>106</v>
      </c>
    </row>
    <row r="13" customFormat="false" ht="15" hidden="false" customHeight="false" outlineLevel="0" collapsed="false">
      <c r="B13" s="37" t="s">
        <v>107</v>
      </c>
      <c r="C13" s="37"/>
    </row>
    <row r="14" customFormat="false" ht="25.5" hidden="false" customHeight="true" outlineLevel="0" collapsed="false">
      <c r="B14" s="39" t="s">
        <v>108</v>
      </c>
      <c r="C14" s="40" t="s">
        <v>109</v>
      </c>
    </row>
    <row r="15" customFormat="false" ht="25.5" hidden="false" customHeight="true" outlineLevel="0" collapsed="false">
      <c r="B15" s="39" t="s">
        <v>110</v>
      </c>
      <c r="C15" s="40" t="s">
        <v>111</v>
      </c>
    </row>
    <row r="16" customFormat="false" ht="25.5" hidden="false" customHeight="true" outlineLevel="0" collapsed="false">
      <c r="B16" s="39" t="s">
        <v>112</v>
      </c>
      <c r="C16" s="40" t="s">
        <v>113</v>
      </c>
    </row>
    <row r="17" customFormat="false" ht="25.5" hidden="false" customHeight="true" outlineLevel="0" collapsed="false">
      <c r="B17" s="39" t="s">
        <v>114</v>
      </c>
      <c r="C17" s="40" t="s">
        <v>115</v>
      </c>
    </row>
    <row r="18" customFormat="false" ht="25.5" hidden="false" customHeight="true" outlineLevel="0" collapsed="false">
      <c r="B18" s="39" t="s">
        <v>116</v>
      </c>
      <c r="C18" s="40" t="s">
        <v>117</v>
      </c>
    </row>
    <row r="20" customFormat="false" ht="30" hidden="false" customHeight="true" outlineLevel="0" collapsed="false">
      <c r="B20" s="41" t="s">
        <v>118</v>
      </c>
      <c r="C20" s="41"/>
    </row>
  </sheetData>
  <mergeCells count="5">
    <mergeCell ref="B2:C2"/>
    <mergeCell ref="B3:C3"/>
    <mergeCell ref="B5:C5"/>
    <mergeCell ref="B13:C13"/>
    <mergeCell ref="B20:C20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6"/>
  </cols>
  <sheetData>
    <row r="2" customFormat="false" ht="19.7" hidden="false" customHeight="false" outlineLevel="0" collapsed="false">
      <c r="B2" s="6" t="s">
        <v>119</v>
      </c>
      <c r="C2" s="6"/>
      <c r="D2" s="6"/>
      <c r="E2" s="6"/>
      <c r="F2" s="6"/>
      <c r="G2" s="6"/>
    </row>
    <row r="3" customFormat="false" ht="15" hidden="false" customHeight="false" outlineLevel="0" collapsed="false">
      <c r="B3" s="7" t="s">
        <v>120</v>
      </c>
      <c r="C3" s="7"/>
      <c r="D3" s="7"/>
      <c r="E3" s="7"/>
      <c r="F3" s="7"/>
      <c r="G3" s="7"/>
    </row>
    <row r="5" customFormat="false" ht="39.75" hidden="false" customHeight="true" outlineLevel="0" collapsed="false">
      <c r="B5" s="42" t="s">
        <v>121</v>
      </c>
      <c r="C5" s="42" t="s">
        <v>122</v>
      </c>
      <c r="D5" s="42" t="s">
        <v>123</v>
      </c>
      <c r="E5" s="42" t="s">
        <v>124</v>
      </c>
      <c r="F5" s="42" t="s">
        <v>125</v>
      </c>
      <c r="G5" s="42" t="s">
        <v>126</v>
      </c>
    </row>
    <row r="6" customFormat="false" ht="33.75" hidden="false" customHeight="true" outlineLevel="0" collapsed="false">
      <c r="B6" s="43" t="s">
        <v>127</v>
      </c>
      <c r="C6" s="44" t="s">
        <v>128</v>
      </c>
      <c r="D6" s="44" t="s">
        <v>129</v>
      </c>
      <c r="E6" s="44" t="s">
        <v>130</v>
      </c>
      <c r="F6" s="44" t="s">
        <v>131</v>
      </c>
      <c r="G6" s="44" t="s">
        <v>132</v>
      </c>
    </row>
    <row r="7" customFormat="false" ht="33.75" hidden="false" customHeight="true" outlineLevel="0" collapsed="false">
      <c r="B7" s="45"/>
      <c r="C7" s="45"/>
      <c r="D7" s="45"/>
      <c r="E7" s="45"/>
      <c r="F7" s="45"/>
      <c r="G7" s="45"/>
    </row>
    <row r="8" customFormat="false" ht="33.75" hidden="false" customHeight="true" outlineLevel="0" collapsed="false">
      <c r="B8" s="45"/>
      <c r="C8" s="45"/>
      <c r="D8" s="45"/>
      <c r="E8" s="45"/>
      <c r="F8" s="45"/>
      <c r="G8" s="45"/>
    </row>
    <row r="9" customFormat="false" ht="33.75" hidden="false" customHeight="true" outlineLevel="0" collapsed="false">
      <c r="B9" s="45"/>
      <c r="C9" s="45"/>
      <c r="D9" s="45"/>
      <c r="E9" s="45"/>
      <c r="F9" s="45"/>
      <c r="G9" s="45"/>
    </row>
    <row r="10" customFormat="false" ht="33.75" hidden="false" customHeight="true" outlineLevel="0" collapsed="false">
      <c r="B10" s="45"/>
      <c r="C10" s="45"/>
      <c r="D10" s="45"/>
      <c r="E10" s="45"/>
      <c r="F10" s="45"/>
      <c r="G10" s="45"/>
    </row>
    <row r="11" customFormat="false" ht="33.75" hidden="false" customHeight="true" outlineLevel="0" collapsed="false">
      <c r="B11" s="45"/>
      <c r="C11" s="45"/>
      <c r="D11" s="45"/>
      <c r="E11" s="45"/>
      <c r="F11" s="45"/>
      <c r="G11" s="45"/>
    </row>
    <row r="12" customFormat="false" ht="33.75" hidden="false" customHeight="true" outlineLevel="0" collapsed="false">
      <c r="B12" s="45"/>
      <c r="C12" s="45"/>
      <c r="D12" s="45"/>
      <c r="E12" s="45"/>
      <c r="F12" s="45"/>
      <c r="G12" s="45"/>
    </row>
    <row r="14" customFormat="false" ht="15" hidden="false" customHeight="true" outlineLevel="0" collapsed="false">
      <c r="B14" s="46" t="s">
        <v>133</v>
      </c>
      <c r="C14" s="46"/>
      <c r="D14" s="46"/>
      <c r="E14" s="46"/>
      <c r="F14" s="46"/>
      <c r="G14" s="46"/>
    </row>
  </sheetData>
  <mergeCells count="3">
    <mergeCell ref="B2:G2"/>
    <mergeCell ref="B3:G3"/>
    <mergeCell ref="B14:G14"/>
  </mergeCells>
  <dataValidations count="2">
    <dataValidation allowBlank="true" errorStyle="stop" operator="between" showDropDown="false" showErrorMessage="false" showInputMessage="false" sqref="G7:G12" type="list">
      <formula1>"Alta,Media,Baja"</formula1>
      <formula2>0</formula2>
    </dataValidation>
    <dataValidation allowBlank="true" errorStyle="stop" operator="between" showDropDown="false" showErrorMessage="false" showInputMessage="false" sqref="E7:E12" type="list">
      <formula1>"Copilot,ChatGPT,Claude,Gemini,Otra"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2026-09-22T16:15:06Z</dcterms:created>
  <dc:creator>openpyxl</dc:creator>
  <dc:description/>
  <dc:language>en-US</dc:language>
  <cp:lastModifiedBy/>
  <dcterms:modified xsi:type="dcterms:W3CDTF">2026-09-22T16:15:06Z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